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tsch\OneDrive - OsloMet\Dokumenter\_Data\VBA_tools\"/>
    </mc:Choice>
  </mc:AlternateContent>
  <xr:revisionPtr revIDLastSave="305" documentId="8_{2C991FED-48F5-4C2F-A7FB-F295176BB783}" xr6:coauthVersionLast="45" xr6:coauthVersionMax="45" xr10:uidLastSave="{8084B437-8000-46C7-AF1D-2C7E730E7689}"/>
  <bookViews>
    <workbookView xWindow="-120" yWindow="-120" windowWidth="29040" windowHeight="15840" xr2:uid="{8E9B90C8-C062-477F-B6BC-DE52DCB6E75F}"/>
  </bookViews>
  <sheets>
    <sheet name="1.Data" sheetId="4" r:id="rId1"/>
    <sheet name="2.Options" sheetId="1" r:id="rId2"/>
    <sheet name="3.Analyze" sheetId="2" r:id="rId3"/>
    <sheet name="4.Result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2" i="4"/>
  <c r="B30" i="4" l="1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B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Schild</author>
  </authors>
  <commentList>
    <comment ref="B2" authorId="0" shapeId="0" xr:uid="{8ADD1032-5D56-41E2-AC7C-2FA6879AFE3F}">
      <text>
        <r>
          <rPr>
            <b/>
            <sz val="9"/>
            <color indexed="81"/>
            <rFont val="Tahoma"/>
            <family val="2"/>
          </rPr>
          <t xml:space="preserve">Largest exponent </t>
        </r>
        <r>
          <rPr>
            <b/>
            <i/>
            <sz val="9"/>
            <color indexed="12"/>
            <rFont val="Tahoma"/>
            <family val="2"/>
          </rPr>
          <t>n</t>
        </r>
        <r>
          <rPr>
            <b/>
            <sz val="9"/>
            <color indexed="81"/>
            <rFont val="Tahoma"/>
            <family val="2"/>
          </rPr>
          <t xml:space="preserve"> in the </t>
        </r>
        <r>
          <rPr>
            <b/>
            <u/>
            <sz val="9"/>
            <color indexed="81"/>
            <rFont val="Tahoma"/>
            <family val="2"/>
          </rPr>
          <t>numerator</t>
        </r>
        <r>
          <rPr>
            <b/>
            <sz val="9"/>
            <color indexed="81"/>
            <rFont val="Tahoma"/>
            <family val="2"/>
          </rPr>
          <t xml:space="preserve"> of the solved rational function:
</t>
        </r>
        <r>
          <rPr>
            <sz val="9"/>
            <color indexed="12"/>
            <rFont val="Tahoma"/>
            <family val="2"/>
          </rPr>
          <t>y = (a0 + a1·x + a2·x^2 +...+ 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(b0 + b1·x + b2·x^2 +...+ 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</text>
    </comment>
    <comment ref="B3" authorId="0" shapeId="0" xr:uid="{480A7971-E001-493C-9620-DE34A0A67B61}">
      <text>
        <r>
          <rPr>
            <b/>
            <sz val="9"/>
            <color indexed="81"/>
            <rFont val="Tahoma"/>
            <family val="2"/>
          </rPr>
          <t xml:space="preserve">Largest exponent </t>
        </r>
        <r>
          <rPr>
            <b/>
            <i/>
            <sz val="9"/>
            <color indexed="12"/>
            <rFont val="Tahoma"/>
            <family val="2"/>
          </rPr>
          <t>m</t>
        </r>
        <r>
          <rPr>
            <b/>
            <sz val="9"/>
            <color indexed="81"/>
            <rFont val="Tahoma"/>
            <family val="2"/>
          </rPr>
          <t xml:space="preserve"> in the </t>
        </r>
        <r>
          <rPr>
            <b/>
            <u/>
            <sz val="9"/>
            <color indexed="81"/>
            <rFont val="Tahoma"/>
            <family val="2"/>
          </rPr>
          <t>denominator</t>
        </r>
        <r>
          <rPr>
            <b/>
            <sz val="9"/>
            <color indexed="81"/>
            <rFont val="Tahoma"/>
            <family val="2"/>
          </rPr>
          <t xml:space="preserve"> of the solved rational function:
</t>
        </r>
        <r>
          <rPr>
            <sz val="9"/>
            <color indexed="12"/>
            <rFont val="Tahoma"/>
            <family val="2"/>
          </rPr>
          <t>y = (a0 + a1·x + a2·x^2 +...+ 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(b0 + b1·x + b2·x^2 +...+ 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</text>
    </comment>
    <comment ref="B4" authorId="0" shapeId="0" xr:uid="{8394632C-121B-41E9-8E84-6CFE582979F6}">
      <text>
        <r>
          <rPr>
            <b/>
            <sz val="9"/>
            <color indexed="81"/>
            <rFont val="Tahoma"/>
            <family val="2"/>
          </rPr>
          <t xml:space="preserve">Maximum number of coefficients </t>
        </r>
        <r>
          <rPr>
            <sz val="9"/>
            <color indexed="81"/>
            <rFont val="Tahoma"/>
            <family val="2"/>
          </rPr>
          <t>(a &amp; b)</t>
        </r>
        <r>
          <rPr>
            <b/>
            <sz val="9"/>
            <color indexed="81"/>
            <rFont val="Tahoma"/>
            <family val="2"/>
          </rPr>
          <t xml:space="preserve"> in the solved rational function:
  </t>
        </r>
        <r>
          <rPr>
            <sz val="9"/>
            <color indexed="12"/>
            <rFont val="Tahoma"/>
            <family val="2"/>
          </rPr>
          <t>y = (a0 + a1·x + a2·x^2 +...+ 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(b0 + b1·x + b2·x^2 +...+ 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 xml:space="preserve">)
</t>
        </r>
        <r>
          <rPr>
            <sz val="9"/>
            <color indexed="81"/>
            <rFont val="Tahoma"/>
            <family val="2"/>
          </rPr>
          <t xml:space="preserve">● This number limits the maximum complexity of the solved equation.
● This number can be any value between </t>
        </r>
        <r>
          <rPr>
            <sz val="9"/>
            <color indexed="12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+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+1</t>
        </r>
        <r>
          <rPr>
            <sz val="9"/>
            <color indexed="81"/>
            <rFont val="Tahoma"/>
            <family val="2"/>
          </rPr>
          <t xml:space="preserve">.
● </t>
        </r>
        <r>
          <rPr>
            <i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 xml:space="preserve">: Either coefficient a0 or b0 is set to 1, and is not counted here as a "coefficient":
   For Padé approximation: b0=1, and a0 can have any value (also zero).
   For reciprocal Padé approximation: a0=1, and b0 can have any value (also zero).
● </t>
        </r>
        <r>
          <rPr>
            <i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>: reciprocal Padé approximation is only attempted of all x and y values are non-zero.</t>
        </r>
      </text>
    </comment>
    <comment ref="B5" authorId="0" shapeId="0" xr:uid="{D96CEDF8-12D2-4E09-B905-D86D3DF17499}">
      <text>
        <r>
          <rPr>
            <b/>
            <sz val="9"/>
            <color indexed="81"/>
            <rFont val="Tahoma"/>
            <family val="2"/>
          </rPr>
          <t xml:space="preserve">The program tests all the solved rational functions for singularities. </t>
        </r>
        <r>
          <rPr>
            <b/>
            <sz val="9"/>
            <color indexed="12"/>
            <rFont val="Tahoma"/>
            <family val="2"/>
          </rPr>
          <t>Recommented test resolution value is 2+</t>
        </r>
        <r>
          <rPr>
            <b/>
            <sz val="9"/>
            <color indexed="81"/>
            <rFont val="Tahoma"/>
            <family val="2"/>
          </rPr>
          <t xml:space="preserve">
● </t>
        </r>
        <r>
          <rPr>
            <sz val="9"/>
            <color indexed="81"/>
            <rFont val="Tahoma"/>
            <family val="2"/>
          </rPr>
          <t xml:space="preserve">A singularity is a "divide-by-zero" error that occurs if the denominator polynomial value becomes zero for specific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(the roots of the polynomial).
● Singularities can be discovered by seeing a change in sign (+/-) of the value of the denominator between to neighbouring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.
● This is a brute-force test, i.e. the denominator is calculated for multiple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covering the whole range in column A of sheet </t>
        </r>
        <r>
          <rPr>
            <b/>
            <sz val="9"/>
            <color indexed="81"/>
            <rFont val="Tahoma"/>
            <family val="2"/>
          </rPr>
          <t>1.Data</t>
        </r>
        <r>
          <rPr>
            <sz val="9"/>
            <color indexed="81"/>
            <rFont val="Tahoma"/>
            <family val="2"/>
          </rPr>
          <t xml:space="preserve">.
● A test resolution of 10 means that 10 equi-distant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are tested between each pair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-values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(i) and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(i+1) in column A of sheet </t>
        </r>
        <r>
          <rPr>
            <b/>
            <sz val="9"/>
            <color indexed="81"/>
            <rFont val="Tahoma"/>
            <family val="2"/>
          </rPr>
          <t>1.Data</t>
        </r>
        <r>
          <rPr>
            <sz val="9"/>
            <color indexed="81"/>
            <rFont val="Tahoma"/>
            <family val="2"/>
          </rPr>
          <t xml:space="preserve">.
● If a singuarity is discovered, then the program reports it in the "Equation" column of sheet </t>
        </r>
        <r>
          <rPr>
            <b/>
            <sz val="9"/>
            <color indexed="81"/>
            <rFont val="Tahoma"/>
            <family val="2"/>
          </rPr>
          <t>4.Results</t>
        </r>
        <r>
          <rPr>
            <sz val="9"/>
            <color indexed="81"/>
            <rFont val="Tahoma"/>
            <family val="2"/>
          </rPr>
          <t>.</t>
        </r>
      </text>
    </comment>
    <comment ref="B6" authorId="0" shapeId="0" xr:uid="{10F24EA9-96FD-4881-8305-CFB9DB79BB83}">
      <text>
        <r>
          <rPr>
            <b/>
            <sz val="9"/>
            <color indexed="81"/>
            <rFont val="Tahoma"/>
            <family val="2"/>
          </rPr>
          <t xml:space="preserve">Solution tolerance of polynomial coefficients:
</t>
        </r>
        <r>
          <rPr>
            <sz val="9"/>
            <color indexed="81"/>
            <rFont val="Tahoma"/>
            <family val="2"/>
          </rPr>
          <t xml:space="preserve">● If the y-values are affected by measurement uncertainty/noise, then outliers are ignored by increase the tolerance, e.g. </t>
        </r>
        <r>
          <rPr>
            <b/>
            <sz val="9"/>
            <color indexed="12"/>
            <rFont val="Tahoma"/>
            <family val="2"/>
          </rPr>
          <t>1E-5 or larger</t>
        </r>
        <r>
          <rPr>
            <sz val="9"/>
            <color indexed="81"/>
            <rFont val="Tahoma"/>
            <family val="2"/>
          </rPr>
          <t xml:space="preserve">
● If the y-values are true values (not affected by uncertainty), then use a tiny value of tolerance, e.g. </t>
        </r>
        <r>
          <rPr>
            <b/>
            <sz val="9"/>
            <color indexed="12"/>
            <rFont val="Tahoma"/>
            <family val="2"/>
          </rPr>
          <t>1E-9 or smaller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Schild</author>
  </authors>
  <commentList>
    <comment ref="A1" authorId="0" shapeId="0" xr:uid="{9EB0D9FD-0C88-46D9-B546-06C20ED7579F}">
      <text>
        <r>
          <rPr>
            <b/>
            <sz val="9"/>
            <color indexed="81"/>
            <rFont val="Tahoma"/>
            <family val="2"/>
          </rPr>
          <t>Number of coefficients in the rational function</t>
        </r>
      </text>
    </comment>
    <comment ref="B1" authorId="0" shapeId="0" xr:uid="{77EF5FE2-2977-4362-8583-BD9BD3215399}">
      <text>
        <r>
          <rPr>
            <b/>
            <sz val="9"/>
            <color indexed="81"/>
            <rFont val="Tahoma"/>
            <family val="2"/>
          </rPr>
          <t>Pearson's Correlation Coefficient squared (R²)
●</t>
        </r>
        <r>
          <rPr>
            <sz val="9"/>
            <color indexed="81"/>
            <rFont val="Tahoma"/>
            <family val="2"/>
          </rPr>
          <t xml:space="preserve"> Value of 1 indicates perfect fit. Value of zero indicates zero correlation.
● Is sometimes misleading for nonlinear regression, as it does not detect bias.
● Calculated with the formula:
</t>
        </r>
        <r>
          <rPr>
            <sz val="9"/>
            <color indexed="12"/>
            <rFont val="Tahoma"/>
            <family val="2"/>
          </rPr>
          <t xml:space="preserve">    R = Sxy / (√Sxx √Syy)</t>
        </r>
        <r>
          <rPr>
            <sz val="9"/>
            <color indexed="81"/>
            <rFont val="Tahoma"/>
            <family val="2"/>
          </rPr>
          <t xml:space="preserve">
  where:
</t>
        </r>
        <r>
          <rPr>
            <sz val="9"/>
            <color indexed="12"/>
            <rFont val="Tahoma"/>
            <family val="2"/>
          </rPr>
          <t xml:space="preserve">    Sxy = SUM[(Ytrue,i - Ytrue,mean)·(Ycalc,i - Ycalc,mean)]
    Sxx = SUM[(Ytrue,i - Ytrue,mean)²]
    Syy = SUM[(Ycalc,i - Ycalc,mean)²]</t>
        </r>
      </text>
    </comment>
    <comment ref="C1" authorId="0" shapeId="0" xr:uid="{168ADCD9-63D1-430C-94A3-38D1A9C743E2}">
      <text>
        <r>
          <rPr>
            <b/>
            <sz val="9"/>
            <color indexed="81"/>
            <rFont val="Tahoma"/>
            <family val="2"/>
          </rPr>
          <t>Normalized Mean Squared Error (NMSE)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b/>
            <sz val="9"/>
            <color indexed="81"/>
            <rFont val="Tahoma"/>
            <family val="2"/>
          </rPr>
          <t>Reduced Chi-squared statistic (X²)</t>
        </r>
        <r>
          <rPr>
            <sz val="9"/>
            <color indexed="81"/>
            <rFont val="Tahoma"/>
            <family val="2"/>
          </rPr>
          <t xml:space="preserve"> if weights are input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Normalized Mean Squared Error (NMSE), a.k.a. Normalized Mean Squared Deviation:</t>
        </r>
        <r>
          <rPr>
            <sz val="9"/>
            <color indexed="81"/>
            <rFont val="Tahoma"/>
            <family val="2"/>
          </rPr>
          <t xml:space="preserve">
● A tiny value indicates good fit.
● A high value above 1 is worse than a function with a single constant!, i.e. f(y)=Ymean.
● NMSE is a better measure of goodness of fit than R², in the case of nonlinear regression.
● Calculated only when weights (standard deviations) are </t>
        </r>
        <r>
          <rPr>
            <b/>
            <sz val="9"/>
            <color indexed="81"/>
            <rFont val="Tahoma"/>
            <family val="2"/>
          </rPr>
          <t>not</t>
        </r>
        <r>
          <rPr>
            <sz val="9"/>
            <color indexed="81"/>
            <rFont val="Tahoma"/>
            <family val="2"/>
          </rPr>
          <t xml:space="preserve"> input, with the following equation:
    </t>
        </r>
        <r>
          <rPr>
            <sz val="9"/>
            <color indexed="12"/>
            <rFont val="Tahoma"/>
            <family val="2"/>
          </rPr>
          <t>NMSE = SSE / SST</t>
        </r>
        <r>
          <rPr>
            <sz val="9"/>
            <color indexed="81"/>
            <rFont val="Tahoma"/>
            <family val="2"/>
          </rPr>
          <t xml:space="preserve">
  where:
    Sum of Squared Errors: </t>
        </r>
        <r>
          <rPr>
            <sz val="9"/>
            <color indexed="12"/>
            <rFont val="Tahoma"/>
            <family val="2"/>
          </rPr>
          <t xml:space="preserve">SSE = SUM[(Ycalc,i - Ytrue,i)²]
</t>
        </r>
        <r>
          <rPr>
            <sz val="9"/>
            <color indexed="81"/>
            <rFont val="Tahoma"/>
            <family val="2"/>
          </rPr>
          <t xml:space="preserve">    Total Sum of Squares: </t>
        </r>
        <r>
          <rPr>
            <sz val="9"/>
            <color indexed="12"/>
            <rFont val="Tahoma"/>
            <family val="2"/>
          </rPr>
          <t>SST = SUM[(Ycalc,i - Ymean,i)²]</t>
        </r>
        <r>
          <rPr>
            <sz val="9"/>
            <color indexed="81"/>
            <rFont val="Tahoma"/>
            <family val="2"/>
          </rPr>
          <t xml:space="preserve">
● This number is used to estimate the Log Likelihood in AIC.
</t>
        </r>
        <r>
          <rPr>
            <b/>
            <sz val="9"/>
            <color indexed="81"/>
            <rFont val="Tahoma"/>
            <family val="2"/>
          </rPr>
          <t>Redcued Chi-squared statistic (X²):</t>
        </r>
        <r>
          <rPr>
            <sz val="9"/>
            <color indexed="81"/>
            <rFont val="Tahoma"/>
            <family val="2"/>
          </rPr>
          <t xml:space="preserve">
● Tiny value indicates good fit.
● Takes into account individual weight (1/uncertainty) for each data point.
● Calculated only if weights </t>
        </r>
        <r>
          <rPr>
            <b/>
            <sz val="9"/>
            <color indexed="81"/>
            <rFont val="Tahoma"/>
            <family val="2"/>
          </rPr>
          <t>are</t>
        </r>
        <r>
          <rPr>
            <sz val="9"/>
            <color indexed="81"/>
            <rFont val="Tahoma"/>
            <family val="2"/>
          </rPr>
          <t xml:space="preserve"> input (i.e. weight = 1/σ where σ = standard deviation):
    </t>
        </r>
        <r>
          <rPr>
            <sz val="9"/>
            <color indexed="12"/>
            <rFont val="Tahoma"/>
            <family val="2"/>
          </rPr>
          <t>X² = SUM[ ((Ycalc,i - Ytrue,i) / σ,i)² ]  / (N-1)</t>
        </r>
        <r>
          <rPr>
            <sz val="9"/>
            <color indexed="81"/>
            <rFont val="Tahoma"/>
            <family val="2"/>
          </rPr>
          <t xml:space="preserve">
  where:
    σ,i = standard deviation of Ytrue,i = 1/weight, 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= number of data points</t>
        </r>
        <r>
          <rPr>
            <sz val="9"/>
            <color indexed="81"/>
            <rFont val="Tahoma"/>
            <family val="2"/>
          </rPr>
          <t xml:space="preserve">
● This number is used to estimate the Log Likelihood in AIC.</t>
        </r>
      </text>
    </comment>
    <comment ref="D1" authorId="0" shapeId="0" xr:uid="{2D412141-8FFD-4150-87BA-711E2B1BCF57}">
      <text>
        <r>
          <rPr>
            <b/>
            <sz val="9"/>
            <color indexed="81"/>
            <rFont val="Tahoma"/>
            <family val="2"/>
          </rPr>
          <t>(Weighted) Mean Absolute Error</t>
        </r>
        <r>
          <rPr>
            <sz val="9"/>
            <color indexed="81"/>
            <rFont val="Tahoma"/>
            <family val="2"/>
          </rPr>
          <t>, a.k.a. (Weighted) Mean Absolute Deviation</t>
        </r>
        <r>
          <rPr>
            <b/>
            <sz val="9"/>
            <color indexed="81"/>
            <rFont val="Tahoma"/>
            <family val="2"/>
          </rPr>
          <t xml:space="preserve">
●</t>
        </r>
        <r>
          <rPr>
            <sz val="9"/>
            <color indexed="81"/>
            <rFont val="Tahoma"/>
            <family val="2"/>
          </rPr>
          <t xml:space="preserve"> Tiny value indicates good fit.
● This statistics is less sentitive than NMSE to outliers.
● If no weights are given (in Column C of sheet 1.Data), then all Y-values are given equal Weight=1.
● Calculated using equation </t>
        </r>
        <r>
          <rPr>
            <sz val="9"/>
            <color indexed="12"/>
            <rFont val="Tahoma"/>
            <family val="2"/>
          </rPr>
          <t>SUM [(Ycalc,i - Ytue,i) · Weight,i] / SUM [Weight,i]</t>
        </r>
        <r>
          <rPr>
            <sz val="9"/>
            <color indexed="81"/>
            <rFont val="Tahoma"/>
            <family val="2"/>
          </rPr>
          <t xml:space="preserve">  for i=1 to N</t>
        </r>
      </text>
    </comment>
    <comment ref="E1" authorId="0" shapeId="0" xr:uid="{2CC1B8E1-5A74-40B7-9A65-7985D0E21409}">
      <text>
        <r>
          <rPr>
            <b/>
            <sz val="9"/>
            <color indexed="81"/>
            <rFont val="Tahoma"/>
            <family val="2"/>
          </rPr>
          <t>Maximum Absolute Error</t>
        </r>
        <r>
          <rPr>
            <sz val="9"/>
            <color indexed="81"/>
            <rFont val="Tahoma"/>
            <family val="2"/>
          </rPr>
          <t>, a.k.a. Maximum Absolute Deviation</t>
        </r>
        <r>
          <rPr>
            <b/>
            <sz val="9"/>
            <color indexed="81"/>
            <rFont val="Tahoma"/>
            <family val="2"/>
          </rPr>
          <t xml:space="preserve">
●</t>
        </r>
        <r>
          <rPr>
            <sz val="9"/>
            <color indexed="81"/>
            <rFont val="Tahoma"/>
            <family val="2"/>
          </rPr>
          <t xml:space="preserve"> Low value indicates good fit
● This is useful because the other statistics are not so sensitive to single values with poor fit
● Calculated using equation </t>
        </r>
        <r>
          <rPr>
            <sz val="9"/>
            <color indexed="12"/>
            <rFont val="Tahoma"/>
            <family val="2"/>
          </rPr>
          <t>MAX [Ycalc,i - Ytue,i]</t>
        </r>
        <r>
          <rPr>
            <sz val="9"/>
            <color indexed="81"/>
            <rFont val="Tahoma"/>
            <family val="2"/>
          </rPr>
          <t xml:space="preserve">  for all i=1 to N</t>
        </r>
      </text>
    </comment>
    <comment ref="F1" authorId="0" shapeId="0" xr:uid="{8FF9DF6A-A4D6-4800-B1D3-7D98C6641928}">
      <text>
        <r>
          <rPr>
            <b/>
            <sz val="9"/>
            <color indexed="81"/>
            <rFont val="Tahoma"/>
            <family val="2"/>
          </rPr>
          <t>Akaike Information Criterion (AIC)
●</t>
        </r>
        <r>
          <rPr>
            <sz val="9"/>
            <color indexed="81"/>
            <rFont val="Tahoma"/>
            <family val="2"/>
          </rPr>
          <t xml:space="preserve"> Low value (i.e. can a be large negative) indicates a good compromise between accuracy (low NMSE) and complexity (number of coefficients).
● Use AIC to find parsimonious equations, i.e. simple equations with great explanatory power. They fit data well with a minimum number of coefficients.
● This implementation is 2nd-order accurate, i.e. adjusting for the sample size:
     </t>
        </r>
        <r>
          <rPr>
            <sz val="9"/>
            <color indexed="12"/>
            <rFont val="Tahoma"/>
            <family val="2"/>
          </rPr>
          <t>AIC ≈ SSE / SSE</t>
        </r>
        <r>
          <rPr>
            <vertAlign val="subscript"/>
            <sz val="9"/>
            <color indexed="12"/>
            <rFont val="Tahoma"/>
            <family val="2"/>
          </rPr>
          <t>min</t>
        </r>
        <r>
          <rPr>
            <sz val="9"/>
            <color indexed="12"/>
            <rFont val="Tahoma"/>
            <family val="2"/>
          </rPr>
          <t xml:space="preserve"> + 2·k·N/(N-k-1)  </t>
        </r>
        <r>
          <rPr>
            <sz val="9"/>
            <color indexed="81"/>
            <rFont val="Tahoma"/>
            <family val="2"/>
          </rPr>
          <t xml:space="preserve">
   where: 
     </t>
        </r>
        <r>
          <rPr>
            <i/>
            <sz val="9"/>
            <color indexed="81"/>
            <rFont val="Tahoma"/>
            <family val="2"/>
          </rPr>
          <t>SSE</t>
        </r>
        <r>
          <rPr>
            <sz val="9"/>
            <color indexed="81"/>
            <rFont val="Tahoma"/>
            <family val="2"/>
          </rPr>
          <t xml:space="preserve"> = SUM[(Ycalc,i - Ytrue,i)²], where Ycalc is calculated for each data point </t>
        </r>
        <r>
          <rPr>
            <i/>
            <sz val="9"/>
            <color indexed="81"/>
            <rFont val="Tahoma"/>
            <family val="2"/>
          </rPr>
          <t>i</t>
        </r>
        <r>
          <rPr>
            <sz val="9"/>
            <color indexed="81"/>
            <rFont val="Tahoma"/>
            <family val="2"/>
          </rPr>
          <t xml:space="preserve"> with the fitted rational function coefficients
     </t>
        </r>
        <r>
          <rPr>
            <i/>
            <sz val="9"/>
            <color indexed="81"/>
            <rFont val="Tahoma"/>
            <family val="2"/>
          </rPr>
          <t>SSE</t>
        </r>
        <r>
          <rPr>
            <vertAlign val="subscript"/>
            <sz val="9"/>
            <color indexed="81"/>
            <rFont val="Tahoma"/>
            <family val="2"/>
          </rPr>
          <t>min</t>
        </r>
        <r>
          <rPr>
            <sz val="9"/>
            <color indexed="81"/>
            <rFont val="Tahoma"/>
            <family val="2"/>
          </rPr>
          <t xml:space="preserve"> = an estimate of the variance in Ytrue, and is the lowest SSE of all equations, but limited to min 1E-29.
    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= number of data points
     </t>
        </r>
        <r>
          <rPr>
            <i/>
            <sz val="9"/>
            <color indexed="81"/>
            <rFont val="Tahoma"/>
            <family val="2"/>
          </rPr>
          <t>k</t>
        </r>
        <r>
          <rPr>
            <sz val="9"/>
            <color indexed="81"/>
            <rFont val="Tahoma"/>
            <family val="2"/>
          </rPr>
          <t xml:space="preserve"> = number of coefficients
● The above equation is fundamentally equivalent to Mallow's </t>
        </r>
        <r>
          <rPr>
            <i/>
            <sz val="9"/>
            <color indexed="81"/>
            <rFont val="Tahoma"/>
            <family val="2"/>
          </rPr>
          <t>Cp</t>
        </r>
        <r>
          <rPr>
            <sz val="9"/>
            <color indexed="81"/>
            <rFont val="Tahoma"/>
            <family val="2"/>
          </rPr>
          <t xml:space="preserve"> statistic.</t>
        </r>
      </text>
    </comment>
    <comment ref="G1" authorId="0" shapeId="0" xr:uid="{AC42372F-BBCC-43C0-89D0-1771FB5C471C}">
      <text>
        <r>
          <rPr>
            <b/>
            <sz val="9"/>
            <color indexed="81"/>
            <rFont val="Tahoma"/>
            <family val="2"/>
          </rPr>
          <t>Pareto front : Candidates for best equation
A</t>
        </r>
        <r>
          <rPr>
            <sz val="9"/>
            <color indexed="81"/>
            <rFont val="Tahoma"/>
            <family val="2"/>
          </rPr>
          <t xml:space="preserve"> : best AIC statistic (irrespective of number of coefficients)
</t>
        </r>
        <r>
          <rPr>
            <b/>
            <sz val="9"/>
            <color indexed="81"/>
            <rFont val="Tahoma"/>
            <family val="2"/>
          </rPr>
          <t>E</t>
        </r>
        <r>
          <rPr>
            <sz val="9"/>
            <color indexed="81"/>
            <rFont val="Tahoma"/>
            <family val="2"/>
          </rPr>
          <t xml:space="preserve"> : lowest Max Absolute Error (MaxAE) for given number of coefficients *
</t>
        </r>
        <r>
          <rPr>
            <b/>
            <sz val="9"/>
            <color indexed="81"/>
            <rFont val="Tahoma"/>
            <family val="2"/>
          </rPr>
          <t>X²</t>
        </r>
        <r>
          <rPr>
            <sz val="9"/>
            <color indexed="81"/>
            <rFont val="Tahoma"/>
            <family val="2"/>
          </rPr>
          <t xml:space="preserve"> : lowest X² or NMSE error statistic for given number of coefficients *
</t>
        </r>
        <r>
          <rPr>
            <b/>
            <sz val="9"/>
            <color indexed="81"/>
            <rFont val="Tahoma"/>
            <family val="2"/>
          </rPr>
          <t>!</t>
        </r>
        <r>
          <rPr>
            <sz val="9"/>
            <color indexed="81"/>
            <rFont val="Tahoma"/>
            <family val="2"/>
          </rPr>
          <t xml:space="preserve"> : lowest X² or NMSE error statistic (irrespective of number of coefficients)
(* Lower case letter means not on Pareto front, i.e. inferior compared to an eqn with fewer coefficients)</t>
        </r>
      </text>
    </comment>
    <comment ref="H1" authorId="0" shapeId="0" xr:uid="{0961E7B6-794D-43FF-9B90-9BADEF339F83}">
      <text>
        <r>
          <rPr>
            <b/>
            <sz val="9"/>
            <color indexed="81"/>
            <rFont val="Tahoma"/>
            <family val="2"/>
          </rPr>
          <t xml:space="preserve">Solved rational function:
</t>
        </r>
        <r>
          <rPr>
            <sz val="9"/>
            <color indexed="81"/>
            <rFont val="Tahoma"/>
            <family val="2"/>
          </rPr>
          <t xml:space="preserve">The rational function:
</t>
        </r>
        <r>
          <rPr>
            <sz val="9"/>
            <color indexed="12"/>
            <rFont val="Tahoma"/>
            <family val="2"/>
          </rPr>
          <t xml:space="preserve">   y = (a0 + a1·x + a2·x^2 +...+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(b0 + b1·x + b2·x^2 +...+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is expressed in this column using Horner's nested scheme, for fastest possible calculation:
</t>
        </r>
        <r>
          <rPr>
            <sz val="9"/>
            <color indexed="12"/>
            <rFont val="Tahoma"/>
            <family val="2"/>
          </rPr>
          <t xml:space="preserve">   y = (a0 +x(a1 +x(a2 +x(a3 +...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·x)))) / (b0 +x(b1 +x(b2 +x(b3 +...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·x))))</t>
        </r>
      </text>
    </comment>
    <comment ref="I1" authorId="0" shapeId="0" xr:uid="{FD463898-CEBC-4C98-B96B-66896376CBE6}">
      <text>
        <r>
          <rPr>
            <b/>
            <sz val="9"/>
            <color indexed="81"/>
            <rFont val="Tahoma"/>
            <family val="2"/>
          </rPr>
          <t xml:space="preserve">Polnomial coefficients in the rational function:
</t>
        </r>
        <r>
          <rPr>
            <sz val="9"/>
            <color indexed="12"/>
            <rFont val="Tahoma"/>
            <family val="2"/>
          </rPr>
          <t>y = (a0 + a1·x + a2·x^2 +...+  an·x^n) / (b0 + b1·x + b2·x^2 +...+  bm·x^m)</t>
        </r>
      </text>
    </comment>
  </commentList>
</comments>
</file>

<file path=xl/sharedStrings.xml><?xml version="1.0" encoding="utf-8"?>
<sst xmlns="http://schemas.openxmlformats.org/spreadsheetml/2006/main" count="49" uniqueCount="48">
  <si>
    <t>AIC</t>
  </si>
  <si>
    <t>R²</t>
  </si>
  <si>
    <t>Max no. of coefficients altogether</t>
  </si>
  <si>
    <t>Equation</t>
  </si>
  <si>
    <t>N.coeffs</t>
  </si>
  <si>
    <t>Pareto</t>
  </si>
  <si>
    <t>Resolution, test equation singularities</t>
  </si>
  <si>
    <t>Largest exponent in numerator</t>
  </si>
  <si>
    <t>Largest exponent in denominator</t>
  </si>
  <si>
    <t>NMSE</t>
  </si>
  <si>
    <t>a0</t>
  </si>
  <si>
    <t>a1·x</t>
  </si>
  <si>
    <t>a2·x^2</t>
  </si>
  <si>
    <t>b0</t>
  </si>
  <si>
    <t>b1·x</t>
  </si>
  <si>
    <t>b2·x^2</t>
  </si>
  <si>
    <t>-</t>
  </si>
  <si>
    <r>
      <t xml:space="preserve">Calculating </t>
    </r>
    <r>
      <rPr>
        <b/>
        <sz val="11"/>
        <color theme="1"/>
        <rFont val="Calibri"/>
        <family val="2"/>
      </rPr>
      <t>…</t>
    </r>
  </si>
  <si>
    <t>Solution tolerance</t>
  </si>
  <si>
    <t>Calcultion settings:</t>
  </si>
  <si>
    <t>MAE</t>
  </si>
  <si>
    <t>MaxAE</t>
  </si>
  <si>
    <t xml:space="preserve">X² E </t>
  </si>
  <si>
    <t>X² E A!</t>
  </si>
  <si>
    <t>y=4.70166666666667</t>
  </si>
  <si>
    <t>y=3.28688524590164*x</t>
  </si>
  <si>
    <t>y=1.40998301289022*x ^2</t>
  </si>
  <si>
    <t>y=1 / 0.133772774447342</t>
  </si>
  <si>
    <t>y=1 / 4.63284602802079E-02*x</t>
  </si>
  <si>
    <t>y=1 / 1.56646200398217E-02*x ^2</t>
  </si>
  <si>
    <t>y=-1.65333333333333 +4.1*x</t>
  </si>
  <si>
    <t>y=0.592828685258964 +1.30370321990726*x ^2</t>
  </si>
  <si>
    <t>y=1.28770130993752 / (1 -0.329559844588125*x)</t>
  </si>
  <si>
    <t>y=1.96009484808624 / (1 -0.11060301310165*x ^2)</t>
  </si>
  <si>
    <t>y=x*(0.999999999999999 +1*x)</t>
  </si>
  <si>
    <t>y=1.76168634155864*x / (1 -0.19392513134731*x)</t>
  </si>
  <si>
    <t>y=2.22332515786786*x / (1 -5.38536916625733E-02*x ^2)</t>
  </si>
  <si>
    <t>y=2.2107503507145*x ^2 / (1 +0.226171724110137*x)</t>
  </si>
  <si>
    <t>y=1.76440459316566*x ^2 / (1 +3.86138024646085E-02*x ^2)</t>
  </si>
  <si>
    <t>y=(1 -1.66905444126074*x) / -0.358166189111747</t>
  </si>
  <si>
    <t>y=(1 -0.994521265266425*x) / -6.39193034430941E-02*x</t>
  </si>
  <si>
    <t>y=(1 -0.817465425115801*x) / -1.64900027908055E-02*x ^2</t>
  </si>
  <si>
    <t>y=(1 +1.66905444126075*x ^2) / 1.310888252149</t>
  </si>
  <si>
    <t>y=(1 -1.0551370990549*x ^2) / -0.247381564473457*x</t>
  </si>
  <si>
    <t>y=(1 -0.554351808150022*x ^2) / -4.08640854530065E-02*x ^2</t>
  </si>
  <si>
    <t>y=1 / (0.526034519979931 -0.158413150927221*x)</t>
  </si>
  <si>
    <t>y=1 / (0.337750177127124 -3.20618962999326E-02*x ^2)</t>
  </si>
  <si>
    <t>y=1 / (x*(0.272429014106259 -8.57911386499497E-02*x))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</si>
</sst>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9"/>
      <color indexed="12"/>
      <name val="Tahoma"/>
      <family val="2"/>
    </font>
    <font>
      <b/>
      <sz val="14"/>
      <color rgb="FFC00000"/>
      <name val="Calibri"/>
      <family val="2"/>
      <scheme val="minor"/>
    </font>
    <font>
      <b/>
      <i/>
      <sz val="9"/>
      <color indexed="12"/>
      <name val="Tahoma"/>
      <family val="2"/>
    </font>
    <font>
      <i/>
      <sz val="9"/>
      <color indexed="12"/>
      <name val="Tahoma"/>
      <family val="2"/>
    </font>
    <font>
      <i/>
      <sz val="9"/>
      <color indexed="81"/>
      <name val="Tahoma"/>
      <family val="2"/>
    </font>
    <font>
      <b/>
      <sz val="9"/>
      <color indexed="12"/>
      <name val="Tahoma"/>
      <family val="2"/>
    </font>
    <font>
      <b/>
      <u/>
      <sz val="9"/>
      <color indexed="81"/>
      <name val="Tahoma"/>
      <family val="2"/>
    </font>
    <font>
      <vertAlign val="subscript"/>
      <sz val="9"/>
      <color indexed="12"/>
      <name val="Tahoma"/>
      <family val="2"/>
    </font>
    <font>
      <vertAlign val="subscript"/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0" quotePrefix="1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5" fillId="3" borderId="0" xfId="0" applyFont="1" applyFill="1"/>
    <xf numFmtId="11" fontId="0" fillId="0" borderId="0" xfId="0" applyNumberFormat="1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C0C0C0"/>
      <color rgb="FF00FF00"/>
      <color rgb="FF00FF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'1.Data'!$A$1:$A$101</c:f>
              <c:numCache>
                <c:formatCode>General</c:formatCode>
                <c:ptCount val="101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</c:numCache>
            </c:numRef>
          </c:xVal>
          <c:yVal>
            <c:numRef>
              <c:f>'1.Data'!$B$1:$B$101</c:f>
              <c:numCache>
                <c:formatCode>General</c:formatCode>
                <c:ptCount val="101"/>
                <c:pt idx="0">
                  <c:v>0.11000000000000001</c:v>
                </c:pt>
                <c:pt idx="1">
                  <c:v>0.24000000000000002</c:v>
                </c:pt>
                <c:pt idx="2">
                  <c:v>0.39000000000000007</c:v>
                </c:pt>
                <c:pt idx="3">
                  <c:v>0.56000000000000005</c:v>
                </c:pt>
                <c:pt idx="4">
                  <c:v>0.75</c:v>
                </c:pt>
                <c:pt idx="5">
                  <c:v>0.96</c:v>
                </c:pt>
                <c:pt idx="6">
                  <c:v>1.19</c:v>
                </c:pt>
                <c:pt idx="7">
                  <c:v>1.44</c:v>
                </c:pt>
                <c:pt idx="8">
                  <c:v>1.7099999999999997</c:v>
                </c:pt>
                <c:pt idx="9">
                  <c:v>1.9999999999999996</c:v>
                </c:pt>
                <c:pt idx="10">
                  <c:v>2.3099999999999996</c:v>
                </c:pt>
                <c:pt idx="11">
                  <c:v>2.6399999999999997</c:v>
                </c:pt>
                <c:pt idx="12">
                  <c:v>2.99</c:v>
                </c:pt>
                <c:pt idx="13">
                  <c:v>3.3600000000000003</c:v>
                </c:pt>
                <c:pt idx="14">
                  <c:v>3.7500000000000009</c:v>
                </c:pt>
                <c:pt idx="15">
                  <c:v>4.160000000000001</c:v>
                </c:pt>
                <c:pt idx="16">
                  <c:v>4.5900000000000016</c:v>
                </c:pt>
                <c:pt idx="17">
                  <c:v>5.0400000000000018</c:v>
                </c:pt>
                <c:pt idx="18">
                  <c:v>5.5100000000000025</c:v>
                </c:pt>
                <c:pt idx="19">
                  <c:v>6.0000000000000018</c:v>
                </c:pt>
                <c:pt idx="20">
                  <c:v>6.5100000000000025</c:v>
                </c:pt>
                <c:pt idx="21">
                  <c:v>7.0400000000000027</c:v>
                </c:pt>
                <c:pt idx="22">
                  <c:v>7.5900000000000043</c:v>
                </c:pt>
                <c:pt idx="23">
                  <c:v>8.1600000000000055</c:v>
                </c:pt>
                <c:pt idx="24">
                  <c:v>8.7500000000000053</c:v>
                </c:pt>
                <c:pt idx="25">
                  <c:v>9.3600000000000065</c:v>
                </c:pt>
                <c:pt idx="26">
                  <c:v>9.9900000000000055</c:v>
                </c:pt>
                <c:pt idx="27">
                  <c:v>10.640000000000008</c:v>
                </c:pt>
                <c:pt idx="28">
                  <c:v>11.310000000000009</c:v>
                </c:pt>
                <c:pt idx="29">
                  <c:v>12.000000000000009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A-4246-99D6-6D5929DA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936992"/>
        <c:axId val="450961920"/>
      </c:scatterChart>
      <c:valAx>
        <c:axId val="152893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X-values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50961920"/>
        <c:crosses val="autoZero"/>
        <c:crossBetween val="midCat"/>
      </c:valAx>
      <c:valAx>
        <c:axId val="4509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Y-values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52893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762000</xdr:colOff>
      <xdr:row>1</xdr:row>
      <xdr:rowOff>123825</xdr:rowOff>
    </xdr:from>
    <xdr:to>
      <xdr:col>8</xdr:col>
      <xdr:colOff>600075</xdr:colOff>
      <xdr:row>21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0A8415-AB79-4984-A570-B94635BB3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1C359-CB1E-4E32-8660-B03426BE8861}">
  <sheetPr codeName="Sheet4">
    <tabColor rgb="FFFF0000"/>
  </sheetPr>
  <dimension ref="A1:D103"/>
  <sheetViews>
    <sheetView tabSelected="1" workbookViewId="0">
      <selection activeCell="K11" sqref="K11"/>
    </sheetView>
  </sheetViews>
  <sheetFormatPr defaultRowHeight="15" x14ac:dyDescent="0.25"/>
  <cols>
    <col min="2" max="4" width="12" bestFit="1" customWidth="1"/>
    <col min="7" max="7" width="12.7109375" bestFit="1" customWidth="1"/>
    <col min="11" max="12" width="12" bestFit="1" customWidth="1"/>
  </cols>
  <sheetData>
    <row r="1" spans="1:4" x14ac:dyDescent="0.25">
      <c r="A1">
        <v>0.1</v>
      </c>
      <c r="B1">
        <f>A1+A1^2</f>
        <v>0.11000000000000001</v>
      </c>
      <c r="C1" s="4"/>
      <c r="D1" s="4"/>
    </row>
    <row r="2" spans="1:4" x14ac:dyDescent="0.25">
      <c r="A2">
        <f>A1+0.1</f>
        <v>0.2</v>
      </c>
      <c r="B2">
        <f t="shared" ref="B2:B30" si="0">A2+A2^2</f>
        <v>0.24000000000000002</v>
      </c>
      <c r="C2" s="4"/>
      <c r="D2" s="4"/>
    </row>
    <row r="3" spans="1:4" x14ac:dyDescent="0.25">
      <c r="A3">
        <f t="shared" ref="A3:A30" si="1">A2+0.1</f>
        <v>0.30000000000000004</v>
      </c>
      <c r="B3">
        <f t="shared" si="0"/>
        <v>0.39000000000000007</v>
      </c>
      <c r="C3" s="4"/>
      <c r="D3" s="4"/>
    </row>
    <row r="4" spans="1:4" x14ac:dyDescent="0.25">
      <c r="A4">
        <f t="shared" si="1"/>
        <v>0.4</v>
      </c>
      <c r="B4">
        <f t="shared" si="0"/>
        <v>0.56000000000000005</v>
      </c>
      <c r="C4" s="4"/>
      <c r="D4" s="4"/>
    </row>
    <row r="5" spans="1:4" x14ac:dyDescent="0.25">
      <c r="A5">
        <f t="shared" si="1"/>
        <v>0.5</v>
      </c>
      <c r="B5">
        <f t="shared" si="0"/>
        <v>0.75</v>
      </c>
      <c r="C5" s="4"/>
      <c r="D5" s="4"/>
    </row>
    <row r="6" spans="1:4" x14ac:dyDescent="0.25">
      <c r="A6">
        <f t="shared" si="1"/>
        <v>0.6</v>
      </c>
      <c r="B6">
        <f t="shared" si="0"/>
        <v>0.96</v>
      </c>
      <c r="C6" s="4"/>
      <c r="D6" s="4"/>
    </row>
    <row r="7" spans="1:4" x14ac:dyDescent="0.25">
      <c r="A7">
        <f t="shared" si="1"/>
        <v>0.7</v>
      </c>
      <c r="B7">
        <f t="shared" si="0"/>
        <v>1.19</v>
      </c>
      <c r="C7" s="4"/>
      <c r="D7" s="4"/>
    </row>
    <row r="8" spans="1:4" x14ac:dyDescent="0.25">
      <c r="A8">
        <f t="shared" si="1"/>
        <v>0.79999999999999993</v>
      </c>
      <c r="B8">
        <f t="shared" si="0"/>
        <v>1.44</v>
      </c>
      <c r="C8" s="4"/>
      <c r="D8" s="4"/>
    </row>
    <row r="9" spans="1:4" x14ac:dyDescent="0.25">
      <c r="A9">
        <f t="shared" si="1"/>
        <v>0.89999999999999991</v>
      </c>
      <c r="B9">
        <f t="shared" si="0"/>
        <v>1.7099999999999997</v>
      </c>
      <c r="C9" s="4"/>
      <c r="D9" s="4"/>
    </row>
    <row r="10" spans="1:4" x14ac:dyDescent="0.25">
      <c r="A10">
        <f t="shared" si="1"/>
        <v>0.99999999999999989</v>
      </c>
      <c r="B10">
        <f t="shared" si="0"/>
        <v>1.9999999999999996</v>
      </c>
      <c r="C10" s="4"/>
      <c r="D10" s="4"/>
    </row>
    <row r="11" spans="1:4" x14ac:dyDescent="0.25">
      <c r="A11">
        <f t="shared" si="1"/>
        <v>1.0999999999999999</v>
      </c>
      <c r="B11">
        <f t="shared" si="0"/>
        <v>2.3099999999999996</v>
      </c>
      <c r="C11" s="4"/>
      <c r="D11" s="4"/>
    </row>
    <row r="12" spans="1:4" x14ac:dyDescent="0.25">
      <c r="A12">
        <f t="shared" si="1"/>
        <v>1.2</v>
      </c>
      <c r="B12">
        <f t="shared" si="0"/>
        <v>2.6399999999999997</v>
      </c>
      <c r="C12" s="4"/>
      <c r="D12" s="4"/>
    </row>
    <row r="13" spans="1:4" x14ac:dyDescent="0.25">
      <c r="A13">
        <f t="shared" si="1"/>
        <v>1.3</v>
      </c>
      <c r="B13">
        <f t="shared" si="0"/>
        <v>2.99</v>
      </c>
      <c r="C13" s="4"/>
      <c r="D13" s="4"/>
    </row>
    <row r="14" spans="1:4" x14ac:dyDescent="0.25">
      <c r="A14">
        <f t="shared" si="1"/>
        <v>1.4000000000000001</v>
      </c>
      <c r="B14">
        <f t="shared" si="0"/>
        <v>3.3600000000000003</v>
      </c>
      <c r="C14" s="4"/>
      <c r="D14" s="4"/>
    </row>
    <row r="15" spans="1:4" x14ac:dyDescent="0.25">
      <c r="A15">
        <f t="shared" si="1"/>
        <v>1.5000000000000002</v>
      </c>
      <c r="B15">
        <f t="shared" si="0"/>
        <v>3.7500000000000009</v>
      </c>
      <c r="C15" s="4"/>
      <c r="D15" s="4"/>
    </row>
    <row r="16" spans="1:4" x14ac:dyDescent="0.25">
      <c r="A16">
        <f t="shared" si="1"/>
        <v>1.6000000000000003</v>
      </c>
      <c r="B16">
        <f t="shared" si="0"/>
        <v>4.160000000000001</v>
      </c>
      <c r="C16" s="4"/>
      <c r="D16" s="4"/>
    </row>
    <row r="17" spans="1:4" x14ac:dyDescent="0.25">
      <c r="A17">
        <f t="shared" si="1"/>
        <v>1.7000000000000004</v>
      </c>
      <c r="B17">
        <f t="shared" si="0"/>
        <v>4.5900000000000016</v>
      </c>
      <c r="C17" s="4"/>
      <c r="D17" s="4"/>
    </row>
    <row r="18" spans="1:4" x14ac:dyDescent="0.25">
      <c r="A18">
        <f t="shared" si="1"/>
        <v>1.8000000000000005</v>
      </c>
      <c r="B18">
        <f t="shared" si="0"/>
        <v>5.0400000000000018</v>
      </c>
      <c r="C18" s="4"/>
      <c r="D18" s="4"/>
    </row>
    <row r="19" spans="1:4" x14ac:dyDescent="0.25">
      <c r="A19">
        <f t="shared" si="1"/>
        <v>1.9000000000000006</v>
      </c>
      <c r="B19">
        <f t="shared" si="0"/>
        <v>5.5100000000000025</v>
      </c>
      <c r="C19" s="4"/>
      <c r="D19" s="4"/>
    </row>
    <row r="20" spans="1:4" x14ac:dyDescent="0.25">
      <c r="A20">
        <f t="shared" si="1"/>
        <v>2.0000000000000004</v>
      </c>
      <c r="B20">
        <f t="shared" si="0"/>
        <v>6.0000000000000018</v>
      </c>
      <c r="C20" s="4"/>
      <c r="D20" s="4"/>
    </row>
    <row r="21" spans="1:4" x14ac:dyDescent="0.25">
      <c r="A21">
        <f t="shared" si="1"/>
        <v>2.1000000000000005</v>
      </c>
      <c r="B21">
        <f t="shared" si="0"/>
        <v>6.5100000000000025</v>
      </c>
      <c r="C21" s="4"/>
      <c r="D21" s="4"/>
    </row>
    <row r="22" spans="1:4" x14ac:dyDescent="0.25">
      <c r="A22">
        <f t="shared" si="1"/>
        <v>2.2000000000000006</v>
      </c>
      <c r="B22">
        <f t="shared" si="0"/>
        <v>7.0400000000000027</v>
      </c>
      <c r="C22" s="4"/>
      <c r="D22" s="4"/>
    </row>
    <row r="23" spans="1:4" x14ac:dyDescent="0.25">
      <c r="A23">
        <f t="shared" si="1"/>
        <v>2.3000000000000007</v>
      </c>
      <c r="B23">
        <f t="shared" si="0"/>
        <v>7.5900000000000043</v>
      </c>
      <c r="C23" s="4"/>
      <c r="D23" s="4"/>
    </row>
    <row r="24" spans="1:4" x14ac:dyDescent="0.25">
      <c r="A24">
        <f t="shared" si="1"/>
        <v>2.4000000000000008</v>
      </c>
      <c r="B24">
        <f t="shared" si="0"/>
        <v>8.1600000000000055</v>
      </c>
      <c r="C24" s="4"/>
      <c r="D24" s="4"/>
    </row>
    <row r="25" spans="1:4" x14ac:dyDescent="0.25">
      <c r="A25">
        <f t="shared" si="1"/>
        <v>2.5000000000000009</v>
      </c>
      <c r="B25">
        <f t="shared" si="0"/>
        <v>8.7500000000000053</v>
      </c>
      <c r="C25" s="4"/>
      <c r="D25" s="4"/>
    </row>
    <row r="26" spans="1:4" x14ac:dyDescent="0.25">
      <c r="A26">
        <f t="shared" si="1"/>
        <v>2.600000000000001</v>
      </c>
      <c r="B26">
        <f t="shared" si="0"/>
        <v>9.3600000000000065</v>
      </c>
      <c r="C26" s="4"/>
      <c r="D26" s="4"/>
    </row>
    <row r="27" spans="1:4" x14ac:dyDescent="0.25">
      <c r="A27">
        <f t="shared" si="1"/>
        <v>2.7000000000000011</v>
      </c>
      <c r="B27">
        <f t="shared" si="0"/>
        <v>9.9900000000000055</v>
      </c>
      <c r="C27" s="4"/>
      <c r="D27" s="4"/>
    </row>
    <row r="28" spans="1:4" x14ac:dyDescent="0.25">
      <c r="A28">
        <f t="shared" si="1"/>
        <v>2.8000000000000012</v>
      </c>
      <c r="B28">
        <f t="shared" si="0"/>
        <v>10.640000000000008</v>
      </c>
      <c r="C28" s="4"/>
      <c r="D28" s="4"/>
    </row>
    <row r="29" spans="1:4" x14ac:dyDescent="0.25">
      <c r="A29">
        <f t="shared" si="1"/>
        <v>2.9000000000000012</v>
      </c>
      <c r="B29">
        <f t="shared" si="0"/>
        <v>11.310000000000009</v>
      </c>
      <c r="C29" s="4"/>
      <c r="D29" s="4"/>
    </row>
    <row r="30" spans="1:4" x14ac:dyDescent="0.25">
      <c r="A30">
        <f t="shared" si="1"/>
        <v>3.0000000000000013</v>
      </c>
      <c r="B30">
        <f t="shared" si="0"/>
        <v>12.000000000000009</v>
      </c>
      <c r="C30" s="4"/>
      <c r="D30" s="4"/>
    </row>
    <row r="31" spans="1:4" x14ac:dyDescent="0.25">
      <c r="C31" s="4"/>
      <c r="D31" s="4"/>
    </row>
    <row r="32" spans="1:4" x14ac:dyDescent="0.25">
      <c r="C32" s="4"/>
      <c r="D32" s="4"/>
    </row>
    <row r="33" spans="3:4" x14ac:dyDescent="0.25">
      <c r="C33" s="4"/>
      <c r="D33" s="4"/>
    </row>
    <row r="34" spans="3:4" x14ac:dyDescent="0.25">
      <c r="C34" s="4"/>
      <c r="D34" s="4"/>
    </row>
    <row r="35" spans="3:4" x14ac:dyDescent="0.25">
      <c r="C35" s="4"/>
      <c r="D35" s="4"/>
    </row>
    <row r="36" spans="3:4" x14ac:dyDescent="0.25">
      <c r="C36" s="4"/>
      <c r="D36" s="4"/>
    </row>
    <row r="37" spans="3:4" x14ac:dyDescent="0.25">
      <c r="C37" s="4"/>
      <c r="D37" s="4"/>
    </row>
    <row r="38" spans="3:4" x14ac:dyDescent="0.25">
      <c r="C38" s="4"/>
      <c r="D38" s="4"/>
    </row>
    <row r="39" spans="3:4" x14ac:dyDescent="0.25">
      <c r="C39" s="4"/>
      <c r="D39" s="4"/>
    </row>
    <row r="40" spans="3:4" x14ac:dyDescent="0.25">
      <c r="C40" s="4"/>
      <c r="D40" s="4"/>
    </row>
    <row r="41" spans="3:4" x14ac:dyDescent="0.25">
      <c r="C41" s="4"/>
      <c r="D41" s="4"/>
    </row>
    <row r="42" spans="3:4" x14ac:dyDescent="0.25">
      <c r="C42" s="4"/>
      <c r="D42" s="4"/>
    </row>
    <row r="43" spans="3:4" x14ac:dyDescent="0.25">
      <c r="C43" s="4"/>
      <c r="D43" s="4"/>
    </row>
    <row r="44" spans="3:4" x14ac:dyDescent="0.25">
      <c r="C44" s="4"/>
      <c r="D44" s="4"/>
    </row>
    <row r="45" spans="3:4" x14ac:dyDescent="0.25">
      <c r="C45" s="4"/>
      <c r="D45" s="4"/>
    </row>
    <row r="46" spans="3:4" x14ac:dyDescent="0.25">
      <c r="C46" s="4"/>
      <c r="D46" s="4"/>
    </row>
    <row r="47" spans="3:4" x14ac:dyDescent="0.25">
      <c r="C47" s="4"/>
      <c r="D47" s="4"/>
    </row>
    <row r="48" spans="3:4" x14ac:dyDescent="0.25">
      <c r="C48" s="4"/>
      <c r="D48" s="4"/>
    </row>
    <row r="49" spans="3:4" x14ac:dyDescent="0.25">
      <c r="C49" s="4"/>
      <c r="D49" s="4"/>
    </row>
    <row r="50" spans="3:4" x14ac:dyDescent="0.25">
      <c r="C50" s="4"/>
      <c r="D50" s="4"/>
    </row>
    <row r="51" spans="3:4" x14ac:dyDescent="0.25">
      <c r="C51" s="4"/>
      <c r="D51" s="4"/>
    </row>
    <row r="52" spans="3:4" x14ac:dyDescent="0.25">
      <c r="C52" s="4"/>
      <c r="D52" s="4"/>
    </row>
    <row r="53" spans="3:4" x14ac:dyDescent="0.25">
      <c r="C53" s="4"/>
      <c r="D53" s="4"/>
    </row>
    <row r="54" spans="3:4" x14ac:dyDescent="0.25">
      <c r="C54" s="4"/>
      <c r="D54" s="4"/>
    </row>
    <row r="55" spans="3:4" x14ac:dyDescent="0.25">
      <c r="C55" s="4"/>
      <c r="D55" s="4"/>
    </row>
    <row r="56" spans="3:4" x14ac:dyDescent="0.25">
      <c r="C56" s="4"/>
      <c r="D56" s="4"/>
    </row>
    <row r="57" spans="3:4" x14ac:dyDescent="0.25">
      <c r="C57" s="4"/>
      <c r="D57" s="4"/>
    </row>
    <row r="58" spans="3:4" x14ac:dyDescent="0.25">
      <c r="C58" s="4"/>
      <c r="D58" s="4"/>
    </row>
    <row r="59" spans="3:4" x14ac:dyDescent="0.25">
      <c r="C59" s="4"/>
      <c r="D59" s="4"/>
    </row>
    <row r="60" spans="3:4" x14ac:dyDescent="0.25">
      <c r="C60" s="4"/>
      <c r="D60" s="4"/>
    </row>
    <row r="61" spans="3:4" x14ac:dyDescent="0.25">
      <c r="C61" s="4"/>
      <c r="D61" s="4"/>
    </row>
    <row r="62" spans="3:4" x14ac:dyDescent="0.25">
      <c r="C62" s="4"/>
      <c r="D62" s="4"/>
    </row>
    <row r="63" spans="3:4" x14ac:dyDescent="0.25">
      <c r="C63" s="4"/>
      <c r="D63" s="4"/>
    </row>
    <row r="64" spans="3:4" x14ac:dyDescent="0.25">
      <c r="C64" s="4"/>
      <c r="D64" s="4"/>
    </row>
    <row r="65" spans="3:4" x14ac:dyDescent="0.25">
      <c r="C65" s="4"/>
      <c r="D65" s="4"/>
    </row>
    <row r="66" spans="3:4" x14ac:dyDescent="0.25">
      <c r="C66" s="4"/>
      <c r="D66" s="4"/>
    </row>
    <row r="67" spans="3:4" x14ac:dyDescent="0.25">
      <c r="C67" s="4"/>
      <c r="D67" s="4"/>
    </row>
    <row r="68" spans="3:4" x14ac:dyDescent="0.25">
      <c r="C68" s="4"/>
      <c r="D68" s="4"/>
    </row>
    <row r="69" spans="3:4" x14ac:dyDescent="0.25">
      <c r="C69" s="4"/>
      <c r="D69" s="4"/>
    </row>
    <row r="70" spans="3:4" x14ac:dyDescent="0.25">
      <c r="C70" s="4"/>
      <c r="D70" s="4"/>
    </row>
    <row r="71" spans="3:4" x14ac:dyDescent="0.25">
      <c r="C71" s="4"/>
      <c r="D71" s="4"/>
    </row>
    <row r="72" spans="3:4" x14ac:dyDescent="0.25">
      <c r="C72" s="4"/>
      <c r="D72" s="4"/>
    </row>
    <row r="73" spans="3:4" x14ac:dyDescent="0.25">
      <c r="C73" s="4"/>
      <c r="D73" s="4"/>
    </row>
    <row r="74" spans="3:4" x14ac:dyDescent="0.25">
      <c r="C74" s="4"/>
      <c r="D74" s="4"/>
    </row>
    <row r="75" spans="3:4" x14ac:dyDescent="0.25">
      <c r="C75" s="4"/>
      <c r="D75" s="4"/>
    </row>
    <row r="76" spans="3:4" x14ac:dyDescent="0.25">
      <c r="C76" s="4"/>
      <c r="D76" s="4"/>
    </row>
    <row r="77" spans="3:4" x14ac:dyDescent="0.25">
      <c r="C77" s="4"/>
      <c r="D77" s="4"/>
    </row>
    <row r="78" spans="3:4" x14ac:dyDescent="0.25">
      <c r="C78" s="4"/>
      <c r="D78" s="4"/>
    </row>
    <row r="79" spans="3:4" x14ac:dyDescent="0.25">
      <c r="C79" s="4"/>
      <c r="D79" s="4"/>
    </row>
    <row r="80" spans="3:4" x14ac:dyDescent="0.25">
      <c r="C80" s="4"/>
      <c r="D80" s="4"/>
    </row>
    <row r="81" spans="3:4" x14ac:dyDescent="0.25">
      <c r="C81" s="4"/>
      <c r="D81" s="4"/>
    </row>
    <row r="82" spans="3:4" x14ac:dyDescent="0.25">
      <c r="C82" s="4"/>
      <c r="D82" s="4"/>
    </row>
    <row r="83" spans="3:4" x14ac:dyDescent="0.25">
      <c r="C83" s="4"/>
      <c r="D83" s="4"/>
    </row>
    <row r="84" spans="3:4" x14ac:dyDescent="0.25">
      <c r="C84" s="4"/>
      <c r="D84" s="4"/>
    </row>
    <row r="85" spans="3:4" x14ac:dyDescent="0.25">
      <c r="C85" s="4"/>
      <c r="D85" s="4"/>
    </row>
    <row r="86" spans="3:4" x14ac:dyDescent="0.25">
      <c r="C86" s="4"/>
      <c r="D86" s="4"/>
    </row>
    <row r="87" spans="3:4" x14ac:dyDescent="0.25">
      <c r="C87" s="4"/>
      <c r="D87" s="4"/>
    </row>
    <row r="88" spans="3:4" x14ac:dyDescent="0.25">
      <c r="C88" s="4"/>
      <c r="D88" s="4"/>
    </row>
    <row r="89" spans="3:4" x14ac:dyDescent="0.25">
      <c r="C89" s="4"/>
      <c r="D89" s="4"/>
    </row>
    <row r="90" spans="3:4" x14ac:dyDescent="0.25">
      <c r="C90" s="4"/>
      <c r="D90" s="4"/>
    </row>
    <row r="91" spans="3:4" x14ac:dyDescent="0.25">
      <c r="C91" s="4"/>
      <c r="D91" s="4"/>
    </row>
    <row r="92" spans="3:4" x14ac:dyDescent="0.25">
      <c r="C92" s="4"/>
      <c r="D92" s="4"/>
    </row>
    <row r="93" spans="3:4" x14ac:dyDescent="0.25">
      <c r="C93" s="4"/>
      <c r="D93" s="4"/>
    </row>
    <row r="94" spans="3:4" x14ac:dyDescent="0.25">
      <c r="C94" s="4"/>
      <c r="D94" s="4"/>
    </row>
    <row r="95" spans="3:4" x14ac:dyDescent="0.25">
      <c r="C95" s="4"/>
      <c r="D95" s="4"/>
    </row>
    <row r="96" spans="3:4" x14ac:dyDescent="0.25">
      <c r="C96" s="4"/>
      <c r="D96" s="4"/>
    </row>
    <row r="97" spans="3:4" x14ac:dyDescent="0.25">
      <c r="C97" s="4"/>
      <c r="D97" s="4"/>
    </row>
    <row r="98" spans="3:4" x14ac:dyDescent="0.25">
      <c r="C98" s="4"/>
      <c r="D98" s="4"/>
    </row>
    <row r="99" spans="3:4" x14ac:dyDescent="0.25">
      <c r="C99" s="4"/>
      <c r="D99" s="4"/>
    </row>
    <row r="100" spans="3:4" x14ac:dyDescent="0.25">
      <c r="C100" s="4"/>
      <c r="D100" s="4"/>
    </row>
    <row r="101" spans="3:4" x14ac:dyDescent="0.25">
      <c r="C101" s="4"/>
      <c r="D101" s="4"/>
    </row>
    <row r="103" spans="3:4" x14ac:dyDescent="0.25">
      <c r="C103" s="4"/>
      <c r="D103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3B35-7457-46E8-8004-1237DCBEDE53}">
  <sheetPr codeName="Sheet1">
    <tabColor rgb="FFFFFF00"/>
  </sheetPr>
  <dimension ref="A1:B6"/>
  <sheetViews>
    <sheetView showRowColHeaders="0" workbookViewId="0">
      <selection activeCell="B5" sqref="B5"/>
    </sheetView>
  </sheetViews>
  <sheetFormatPr defaultRowHeight="15" x14ac:dyDescent="0.25"/>
  <cols>
    <col min="1" max="1" width="36.140625" style="12" bestFit="1" customWidth="1"/>
    <col min="2" max="16384" width="9.140625" style="7"/>
  </cols>
  <sheetData>
    <row r="1" spans="1:2" ht="18.75" x14ac:dyDescent="0.3">
      <c r="A1" s="13" t="s">
        <v>19</v>
      </c>
    </row>
    <row r="2" spans="1:2" x14ac:dyDescent="0.25">
      <c r="A2" s="12" t="s">
        <v>7</v>
      </c>
      <c r="B2" s="8">
        <v>2</v>
      </c>
    </row>
    <row r="3" spans="1:2" x14ac:dyDescent="0.25">
      <c r="A3" s="12" t="s">
        <v>8</v>
      </c>
      <c r="B3" s="8">
        <v>2</v>
      </c>
    </row>
    <row r="4" spans="1:2" x14ac:dyDescent="0.25">
      <c r="A4" s="12" t="s">
        <v>2</v>
      </c>
      <c r="B4" s="8">
        <v>2</v>
      </c>
    </row>
    <row r="5" spans="1:2" x14ac:dyDescent="0.25">
      <c r="A5" s="12" t="s">
        <v>6</v>
      </c>
      <c r="B5" s="8">
        <v>5</v>
      </c>
    </row>
    <row r="6" spans="1:2" x14ac:dyDescent="0.25">
      <c r="A6" s="12" t="s">
        <v>18</v>
      </c>
      <c r="B6" s="11">
        <v>1.0000000000000001E-9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3625-7269-4491-8C95-87B10B3295EB}">
  <sheetPr codeName="Sheet2">
    <tabColor rgb="FF00FF00"/>
  </sheetPr>
  <dimension ref="L19:M20"/>
  <sheetViews>
    <sheetView showGridLines="0" showRowColHeaders="0" workbookViewId="0"/>
  </sheetViews>
  <sheetFormatPr defaultRowHeight="15" x14ac:dyDescent="0.25"/>
  <cols>
    <col min="1" max="16384" width="9.140625" style="9"/>
  </cols>
  <sheetData>
    <row r="19" spans="12:13" x14ac:dyDescent="0.25">
      <c r="L19" s="10"/>
      <c r="M19" s="10"/>
    </row>
    <row r="20" spans="12:13" x14ac:dyDescent="0.25">
      <c r="M20" s="10" t="s">
        <v>17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0A9E2-3436-4291-96E7-6966997245E1}">
  <sheetPr codeName="Sheet3">
    <tabColor rgb="FF0000FF"/>
  </sheetPr>
  <dimension ref="A1:V25"/>
  <sheetViews>
    <sheetView zoomScaleNormal="100" workbookViewId="0">
      <pane xSplit="8" ySplit="1" topLeftCell="I2" activePane="bottomRight" state="frozen"/>
      <selection pane="topRight" activeCell="G1" sqref="G1"/>
      <selection pane="bottomLeft" activeCell="A2" sqref="A2"/>
      <selection pane="bottomRight"/>
    </sheetView>
  </sheetViews>
  <sheetFormatPr defaultRowHeight="15" x14ac:dyDescent="0.25"/>
  <cols>
    <col min="3" max="3" width="9.85546875" customWidth="1"/>
    <col min="7" max="7" width="9.140625" style="6"/>
    <col min="8" max="8" width="77.5703125" style="14" bestFit="1" customWidth="1"/>
    <col min="17" max="17" width="9.140625" customWidth="1"/>
    <col min="22" max="22" width="9.140625" customWidth="1"/>
  </cols>
  <sheetData>
    <row r="1" spans="1:22" s="1" customFormat="1" x14ac:dyDescent="0.25">
      <c r="A1" s="1" t="s">
        <v>4</v>
      </c>
      <c r="B1" s="1" t="s">
        <v>1</v>
      </c>
      <c r="C1" s="1" t="s">
        <v>9</v>
      </c>
      <c r="D1" s="2" t="s">
        <v>20</v>
      </c>
      <c r="E1" s="2" t="s">
        <v>21</v>
      </c>
      <c r="F1" s="2" t="s">
        <v>0</v>
      </c>
      <c r="G1" s="5" t="s">
        <v>5</v>
      </c>
      <c r="H1" s="3" t="s">
        <v>3</v>
      </c>
      <c r="I1" s="2" t="s">
        <v>10</v>
      </c>
      <c r="J1" s="2" t="s">
        <v>11</v>
      </c>
      <c r="K1" s="2" t="s">
        <v>12</v>
      </c>
      <c r="L1" s="2" t="s">
        <v>13</v>
      </c>
      <c r="M1" s="2" t="s">
        <v>14</v>
      </c>
      <c r="N1" s="2" t="s">
        <v>15</v>
      </c>
      <c r="O1" s="2"/>
      <c r="P1" s="2"/>
      <c r="Q1" s="2"/>
      <c r="R1" s="2"/>
      <c r="S1" s="2"/>
      <c r="T1" s="2"/>
      <c r="U1" s="2"/>
      <c r="V1" s="2"/>
    </row>
    <row r="2" spans="1:22" x14ac:dyDescent="0.25">
      <c r="A2">
        <v>1</v>
      </c>
      <c r="B2" t="s">
        <v>16</v>
      </c>
      <c r="C2">
        <v>1</v>
      </c>
      <c r="D2">
        <v>3.1185555555555573</v>
      </c>
      <c r="E2">
        <v>7.29833333333334</v>
      </c>
      <c r="F2">
        <v>1.0000000000000001E+29</v>
      </c>
      <c r="H2" s="14" t="s">
        <v>24</v>
      </c>
      <c r="I2">
        <v>4.7016666666666689</v>
      </c>
      <c r="L2">
        <v>1</v>
      </c>
    </row>
    <row r="3" spans="1:22" x14ac:dyDescent="0.25">
      <c r="A3">
        <v>1</v>
      </c>
      <c r="B3">
        <v>0.96568496036153328</v>
      </c>
      <c r="C3">
        <v>8.4140155741158018E-2</v>
      </c>
      <c r="D3">
        <v>0.93420765027322505</v>
      </c>
      <c r="E3">
        <v>2.1393442622950865</v>
      </c>
      <c r="F3">
        <v>8.4140155741158021E+27</v>
      </c>
      <c r="H3" s="14" t="s">
        <v>25</v>
      </c>
      <c r="J3">
        <v>3.2868852459016393</v>
      </c>
      <c r="L3">
        <v>1</v>
      </c>
    </row>
    <row r="4" spans="1:22" x14ac:dyDescent="0.25">
      <c r="A4">
        <v>1</v>
      </c>
      <c r="B4">
        <v>0.99663819740985571</v>
      </c>
      <c r="C4">
        <v>1.5084287511860504E-2</v>
      </c>
      <c r="D4">
        <v>0.40285195351762487</v>
      </c>
      <c r="E4">
        <v>0.68984711601196835</v>
      </c>
      <c r="F4">
        <v>1.5084287511860504E+27</v>
      </c>
      <c r="G4" s="6" t="s">
        <v>22</v>
      </c>
      <c r="H4" s="14" t="s">
        <v>26</v>
      </c>
      <c r="K4">
        <v>1.4099830128902187</v>
      </c>
      <c r="L4">
        <v>1</v>
      </c>
    </row>
    <row r="5" spans="1:22" x14ac:dyDescent="0.25">
      <c r="A5">
        <v>1</v>
      </c>
      <c r="B5" t="s">
        <v>16</v>
      </c>
      <c r="C5">
        <v>1.5899388806868411</v>
      </c>
      <c r="D5">
        <v>3.9735025641025659</v>
      </c>
      <c r="E5">
        <v>7.3653626373626402</v>
      </c>
      <c r="F5">
        <v>1.5899388806868413E+29</v>
      </c>
      <c r="H5" s="14" t="s">
        <v>27</v>
      </c>
      <c r="I5">
        <v>1</v>
      </c>
      <c r="L5">
        <v>0.13377277444734198</v>
      </c>
    </row>
    <row r="6" spans="1:22" x14ac:dyDescent="0.25">
      <c r="A6">
        <v>1</v>
      </c>
      <c r="B6">
        <v>0.29330194578038427</v>
      </c>
      <c r="C6">
        <v>186.24338889122129</v>
      </c>
      <c r="D6">
        <v>25.027110501646224</v>
      </c>
      <c r="E6">
        <v>215.74003990024954</v>
      </c>
      <c r="F6">
        <v>1.8624338889122131E+31</v>
      </c>
      <c r="H6" s="14" t="s">
        <v>28</v>
      </c>
      <c r="I6">
        <v>1</v>
      </c>
      <c r="M6">
        <v>4.6328460280207887E-2</v>
      </c>
    </row>
    <row r="7" spans="1:22" x14ac:dyDescent="0.25">
      <c r="A7">
        <v>1</v>
      </c>
      <c r="B7">
        <v>0.12152438800672709</v>
      </c>
      <c r="C7">
        <v>112720.53252764829</v>
      </c>
      <c r="D7">
        <v>339.17758339810831</v>
      </c>
      <c r="E7">
        <v>6383.7026775999639</v>
      </c>
      <c r="F7">
        <v>1.127205325276483E+34</v>
      </c>
      <c r="H7" s="14" t="s">
        <v>29</v>
      </c>
      <c r="I7">
        <v>1</v>
      </c>
      <c r="N7">
        <v>1.5664620039821664E-2</v>
      </c>
    </row>
    <row r="8" spans="1:22" x14ac:dyDescent="0.25">
      <c r="A8">
        <v>2</v>
      </c>
      <c r="B8">
        <v>0.96568496036153351</v>
      </c>
      <c r="C8">
        <v>3.4315039638466563E-2</v>
      </c>
      <c r="D8">
        <v>0.57600000000000073</v>
      </c>
      <c r="E8">
        <v>1.3533333333333337</v>
      </c>
      <c r="F8">
        <v>3.4315039638466565E+27</v>
      </c>
      <c r="H8" s="14" t="s">
        <v>30</v>
      </c>
      <c r="I8">
        <v>-1.6533333333333338</v>
      </c>
      <c r="J8">
        <v>4.1000000000000014</v>
      </c>
      <c r="L8">
        <v>1</v>
      </c>
    </row>
    <row r="9" spans="1:22" x14ac:dyDescent="0.25">
      <c r="A9">
        <v>2</v>
      </c>
      <c r="B9">
        <v>0.99663819740985549</v>
      </c>
      <c r="C9">
        <v>3.3618025901443224E-3</v>
      </c>
      <c r="D9">
        <v>0.17831101822219295</v>
      </c>
      <c r="E9">
        <v>0.49586571745803654</v>
      </c>
      <c r="F9">
        <v>3.3618025901443223E+26</v>
      </c>
      <c r="H9" s="14" t="s">
        <v>31</v>
      </c>
      <c r="I9">
        <v>0.59282868525896393</v>
      </c>
      <c r="K9">
        <v>1.3037032199072567</v>
      </c>
      <c r="L9">
        <v>1</v>
      </c>
    </row>
    <row r="10" spans="1:22" x14ac:dyDescent="0.25">
      <c r="A10">
        <v>2</v>
      </c>
      <c r="B10">
        <v>0.31551720858028681</v>
      </c>
      <c r="C10">
        <v>27.496499599018062</v>
      </c>
      <c r="D10">
        <v>5.2576818558307092</v>
      </c>
      <c r="E10">
        <v>101.74984767722277</v>
      </c>
      <c r="F10">
        <v>2.7496499599018063E+30</v>
      </c>
      <c r="H10" s="14" t="s">
        <v>32</v>
      </c>
      <c r="I10">
        <v>1.2877013099375187</v>
      </c>
      <c r="L10">
        <v>1</v>
      </c>
      <c r="M10">
        <v>-0.32955984458812476</v>
      </c>
    </row>
    <row r="11" spans="1:22" x14ac:dyDescent="0.25">
      <c r="A11">
        <v>2</v>
      </c>
      <c r="B11">
        <v>0.17680811529880153</v>
      </c>
      <c r="C11">
        <v>444.64713355135456</v>
      </c>
      <c r="D11">
        <v>15.889843643099395</v>
      </c>
      <c r="E11">
        <v>416.63446106567676</v>
      </c>
      <c r="F11">
        <v>4.4464713355135458E+31</v>
      </c>
      <c r="H11" s="14" t="s">
        <v>33</v>
      </c>
      <c r="I11">
        <v>1.9600948480862368</v>
      </c>
      <c r="L11">
        <v>1</v>
      </c>
      <c r="N11">
        <v>-0.11060301310164963</v>
      </c>
    </row>
    <row r="12" spans="1:22" x14ac:dyDescent="0.25">
      <c r="A12">
        <v>2</v>
      </c>
      <c r="B12">
        <v>1.0000000000000002</v>
      </c>
      <c r="C12">
        <v>5.0088084198468052E-32</v>
      </c>
      <c r="D12">
        <v>5.8934338890518729E-16</v>
      </c>
      <c r="E12">
        <v>1.7763568394002505E-15</v>
      </c>
      <c r="F12">
        <v>4.4494532528642914</v>
      </c>
      <c r="G12" s="6" t="s">
        <v>23</v>
      </c>
      <c r="H12" s="14" t="s">
        <v>34</v>
      </c>
      <c r="J12">
        <v>0.99999999999999922</v>
      </c>
      <c r="K12">
        <v>1.0000000000000002</v>
      </c>
      <c r="L12">
        <v>1</v>
      </c>
    </row>
    <row r="13" spans="1:22" x14ac:dyDescent="0.25">
      <c r="A13">
        <v>2</v>
      </c>
      <c r="B13">
        <v>0.99637231567692797</v>
      </c>
      <c r="C13">
        <v>3.8035344106758236E-3</v>
      </c>
      <c r="D13">
        <v>0.18870137516990498</v>
      </c>
      <c r="E13">
        <v>0.63689163522290926</v>
      </c>
      <c r="F13">
        <v>3.8035344106758238E+26</v>
      </c>
      <c r="H13" s="14" t="s">
        <v>35</v>
      </c>
      <c r="J13">
        <v>1.7616863415586412</v>
      </c>
      <c r="L13">
        <v>1</v>
      </c>
      <c r="M13">
        <v>-0.19392513134731018</v>
      </c>
    </row>
    <row r="14" spans="1:22" x14ac:dyDescent="0.25">
      <c r="A14">
        <v>2</v>
      </c>
      <c r="B14">
        <v>0.99156670190324425</v>
      </c>
      <c r="C14">
        <v>9.3246050625055126E-3</v>
      </c>
      <c r="D14">
        <v>0.30278184680173165</v>
      </c>
      <c r="E14">
        <v>0.94344720900410195</v>
      </c>
      <c r="F14">
        <v>9.3246050625055134E+26</v>
      </c>
      <c r="H14" s="14" t="s">
        <v>36</v>
      </c>
      <c r="J14">
        <v>2.2233251578678614</v>
      </c>
      <c r="L14">
        <v>1</v>
      </c>
      <c r="N14">
        <v>-5.3853691662573269E-2</v>
      </c>
    </row>
    <row r="15" spans="1:22" x14ac:dyDescent="0.25">
      <c r="A15">
        <v>2</v>
      </c>
      <c r="B15">
        <v>0.99931517163015227</v>
      </c>
      <c r="C15">
        <v>1.6091221560302698E-3</v>
      </c>
      <c r="D15">
        <v>0.12215575905268361</v>
      </c>
      <c r="E15">
        <v>0.25922690870384613</v>
      </c>
      <c r="F15">
        <v>1.6091221560302698E+26</v>
      </c>
      <c r="H15" s="14" t="s">
        <v>37</v>
      </c>
      <c r="K15">
        <v>2.2107503507144965</v>
      </c>
      <c r="L15">
        <v>1</v>
      </c>
      <c r="M15">
        <v>0.22617172411013681</v>
      </c>
    </row>
    <row r="16" spans="1:22" x14ac:dyDescent="0.25">
      <c r="A16">
        <v>2</v>
      </c>
      <c r="B16">
        <v>0.99873471455623697</v>
      </c>
      <c r="C16">
        <v>3.077911514806951E-3</v>
      </c>
      <c r="D16">
        <v>0.17272479432044963</v>
      </c>
      <c r="E16">
        <v>0.34149609089379973</v>
      </c>
      <c r="F16">
        <v>3.0779115148069513E+26</v>
      </c>
      <c r="H16" s="14" t="s">
        <v>38</v>
      </c>
      <c r="K16">
        <v>1.7644045931656553</v>
      </c>
      <c r="L16">
        <v>1</v>
      </c>
      <c r="N16">
        <v>3.8613802464608465E-2</v>
      </c>
    </row>
    <row r="17" spans="1:14" x14ac:dyDescent="0.25">
      <c r="A17">
        <v>2</v>
      </c>
      <c r="B17">
        <v>0.96568496036153351</v>
      </c>
      <c r="C17">
        <v>5.7948139518507288E-2</v>
      </c>
      <c r="D17">
        <v>0.64000000000000068</v>
      </c>
      <c r="E17">
        <v>2.4360000000000026</v>
      </c>
      <c r="F17">
        <v>5.7948139518507295E+27</v>
      </c>
      <c r="H17" s="14" t="s">
        <v>39</v>
      </c>
      <c r="I17">
        <v>1</v>
      </c>
      <c r="J17">
        <v>-1.6690544412607438</v>
      </c>
      <c r="L17">
        <v>-0.35816618911174747</v>
      </c>
    </row>
    <row r="18" spans="1:14" x14ac:dyDescent="0.25">
      <c r="A18">
        <v>2</v>
      </c>
      <c r="B18">
        <v>0.29330194578038427</v>
      </c>
      <c r="C18">
        <v>67.303134285776764</v>
      </c>
      <c r="D18">
        <v>11.142252591456302</v>
      </c>
      <c r="E18">
        <v>140.99824892703899</v>
      </c>
      <c r="F18">
        <v>6.7303134285776772E+30</v>
      </c>
      <c r="H18" s="14" t="s">
        <v>40</v>
      </c>
      <c r="I18">
        <v>1</v>
      </c>
      <c r="J18">
        <v>-0.99452126526642504</v>
      </c>
      <c r="M18">
        <v>-6.3919303443094058E-2</v>
      </c>
    </row>
    <row r="19" spans="1:14" x14ac:dyDescent="0.25">
      <c r="A19">
        <v>2</v>
      </c>
      <c r="B19">
        <v>0.1082589378170557</v>
      </c>
      <c r="C19">
        <v>84289.336159081387</v>
      </c>
      <c r="D19">
        <v>266.85838513428848</v>
      </c>
      <c r="E19">
        <v>5568.6564043730687</v>
      </c>
      <c r="F19">
        <v>8.4289336159081388E+33</v>
      </c>
      <c r="H19" s="14" t="s">
        <v>41</v>
      </c>
      <c r="I19">
        <v>1</v>
      </c>
      <c r="J19">
        <v>-0.81746542511580145</v>
      </c>
      <c r="N19">
        <v>-1.6490002790805522E-2</v>
      </c>
    </row>
    <row r="20" spans="1:14" x14ac:dyDescent="0.25">
      <c r="A20">
        <v>2</v>
      </c>
      <c r="B20">
        <v>0.9966381974098556</v>
      </c>
      <c r="C20">
        <v>4.3259084713269296E-3</v>
      </c>
      <c r="D20">
        <v>0.17486338797814197</v>
      </c>
      <c r="E20">
        <v>0.66557377049180255</v>
      </c>
      <c r="F20">
        <v>4.3259084713269299E+26</v>
      </c>
      <c r="H20" s="14" t="s">
        <v>42</v>
      </c>
      <c r="I20">
        <v>1</v>
      </c>
      <c r="K20">
        <v>1.6690544412607469</v>
      </c>
      <c r="L20">
        <v>1.3108882521489984</v>
      </c>
    </row>
    <row r="21" spans="1:14" x14ac:dyDescent="0.25">
      <c r="A21">
        <v>2</v>
      </c>
      <c r="B21">
        <v>0.55478563014723525</v>
      </c>
      <c r="C21">
        <v>5.9855852986431497</v>
      </c>
      <c r="D21">
        <v>3.751663855557958</v>
      </c>
      <c r="E21">
        <v>40.106861977789606</v>
      </c>
      <c r="F21">
        <v>5.9855852986431499E+29</v>
      </c>
      <c r="H21" s="14" t="s">
        <v>43</v>
      </c>
      <c r="I21">
        <v>1</v>
      </c>
      <c r="K21">
        <v>-1.0551370990548998</v>
      </c>
      <c r="M21">
        <v>-0.24738156447345669</v>
      </c>
    </row>
    <row r="22" spans="1:14" x14ac:dyDescent="0.25">
      <c r="A22">
        <v>2</v>
      </c>
      <c r="B22">
        <v>0.1215243880067271</v>
      </c>
      <c r="C22">
        <v>16308.910959292403</v>
      </c>
      <c r="D22">
        <v>123.40058830653271</v>
      </c>
      <c r="E22">
        <v>2433.6808749976053</v>
      </c>
      <c r="F22">
        <v>1.6308910959292405E+33</v>
      </c>
      <c r="H22" s="14" t="s">
        <v>44</v>
      </c>
      <c r="I22">
        <v>1</v>
      </c>
      <c r="K22">
        <v>-0.55435180815002238</v>
      </c>
      <c r="N22">
        <v>-4.0864085453006509E-2</v>
      </c>
    </row>
    <row r="23" spans="1:14" x14ac:dyDescent="0.25">
      <c r="A23">
        <v>2</v>
      </c>
      <c r="B23">
        <v>0.80542631968057565</v>
      </c>
      <c r="C23">
        <v>0.27763413746512938</v>
      </c>
      <c r="D23">
        <v>1.318861750844988</v>
      </c>
      <c r="E23">
        <v>7.6869510201983591</v>
      </c>
      <c r="F23">
        <v>2.7763413746512942E+28</v>
      </c>
      <c r="H23" s="14" t="s">
        <v>45</v>
      </c>
      <c r="I23">
        <v>1</v>
      </c>
      <c r="L23">
        <v>0.52603451997993145</v>
      </c>
      <c r="M23">
        <v>-0.15841315092722086</v>
      </c>
    </row>
    <row r="24" spans="1:14" x14ac:dyDescent="0.25">
      <c r="A24">
        <v>2</v>
      </c>
      <c r="B24">
        <v>0.7208365456247563</v>
      </c>
      <c r="C24">
        <v>0.38039730023510865</v>
      </c>
      <c r="D24">
        <v>1.6550131175873741</v>
      </c>
      <c r="E24">
        <v>8.3280498286258631</v>
      </c>
      <c r="F24">
        <v>3.8039730023510867E+28</v>
      </c>
      <c r="H24" s="14" t="s">
        <v>46</v>
      </c>
      <c r="I24">
        <v>1</v>
      </c>
      <c r="L24">
        <v>0.33775017712712396</v>
      </c>
      <c r="N24">
        <v>-3.2061896299932585E-2</v>
      </c>
    </row>
    <row r="25" spans="1:14" x14ac:dyDescent="0.25">
      <c r="A25">
        <v>2</v>
      </c>
      <c r="B25">
        <v>2.3938592461076593E-3</v>
      </c>
      <c r="C25">
        <v>6.1661146062699528</v>
      </c>
      <c r="D25">
        <v>4.9613993516151877</v>
      </c>
      <c r="E25">
        <v>37.790336482431904</v>
      </c>
      <c r="F25">
        <v>6.1661146062699531E+29</v>
      </c>
      <c r="H25" s="14" t="s">
        <v>47</v>
      </c>
      <c r="I25">
        <v>1</v>
      </c>
      <c r="M25">
        <v>0.27242901410625908</v>
      </c>
      <c r="N25">
        <v>-8.5791138649949694E-2</v>
      </c>
    </row>
  </sheetData>
  <sortState xmlns:xlrd2="http://schemas.microsoft.com/office/spreadsheetml/2017/richdata2" ref="A2:V2073">
    <sortCondition ref="C2:C2073"/>
  </sortState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C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D32517142E2964C99C02EFDAC2FF07A" ma:contentTypeVersion="12" ma:contentTypeDescription="Opprett et nytt dokument." ma:contentTypeScope="" ma:versionID="8a76e791e61d3e6ca91f49d4a7d39699">
  <xsd:schema xmlns:xsd="http://www.w3.org/2001/XMLSchema" xmlns:xs="http://www.w3.org/2001/XMLSchema" xmlns:p="http://schemas.microsoft.com/office/2006/metadata/properties" xmlns:ns1="http://schemas.microsoft.com/sharepoint/v3" xmlns:ns3="aa087bb6-d861-4a88-8615-b220fcd2cbf3" targetNamespace="http://schemas.microsoft.com/office/2006/metadata/properties" ma:root="true" ma:fieldsID="ad1fa43610db24ed4f4e8f1ce98b7ea6" ns1:_="" ns3:_="">
    <xsd:import namespace="http://schemas.microsoft.com/sharepoint/v3"/>
    <xsd:import namespace="aa087bb6-d861-4a88-8615-b220fcd2cb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Egenskaper for samordnet samsvarspolicy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I-handling for samordnet samsvarspolicy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087bb6-d861-4a88-8615-b220fcd2cb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DA80317-C4A9-40DE-94E4-76DCAF29FB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a087bb6-d861-4a88-8615-b220fcd2cb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49A38A6-9E8C-46D6-A334-F5F29AE748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BC35CA-7F80-4595-8BD0-85821BABA203}">
  <ds:schemaRefs>
    <ds:schemaRef ds:uri="http://purl.org/dc/elements/1.1/"/>
    <ds:schemaRef ds:uri="http://schemas.microsoft.com/sharepoint/v3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purl.org/dc/dcmitype/"/>
    <ds:schemaRef ds:uri="http://www.w3.org/XML/1998/namespace"/>
    <ds:schemaRef ds:uri="aa087bb6-d861-4a88-8615-b220fcd2cbf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1.Data</vt:lpstr>
      <vt:lpstr>2.Options</vt:lpstr>
      <vt:lpstr>3.Analyze</vt:lpstr>
      <vt:lpstr>4.Results</vt:lpstr>
    </vt:vector>
  </TitlesOfParts>
  <Company>OsloMet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Schild</cp:lastModifiedBy>
  <dcterms:created xsi:type="dcterms:W3CDTF">2020-04-13T15:12:18Z</dcterms:created>
  <dcterms:modified xsi:type="dcterms:W3CDTF">2020-04-20T19:37:04Z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0x0101006D32517142E2964C99C02EFDAC2FF07A</vt:lpwstr>
  </property>
</Properties>
</file>