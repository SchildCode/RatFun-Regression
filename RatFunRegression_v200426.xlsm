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tsch\OneDrive - OsloMet\Dokumenter\_Data\VBA_tools\"/>
    </mc:Choice>
  </mc:AlternateContent>
  <xr:revisionPtr revIDLastSave="139229" documentId="8_{9B583A27-0DB2-4E93-BDCD-9BE589A87DEC}" xr6:coauthVersionLast="45" xr6:coauthVersionMax="45" xr10:uidLastSave="{81C73D7D-B644-47E6-9A29-94F66FE111F6}"/>
  <bookViews>
    <workbookView xWindow="-120" yWindow="-120" windowWidth="29040" windowHeight="15840" xr2:uid="{8E9B90C8-C062-477F-B6BC-DE52DCB6E75F}"/>
  </bookViews>
  <sheets>
    <sheet name="1.Data" sheetId="4" r:id="rId1"/>
    <sheet name="2.Options" sheetId="1" r:id="rId2"/>
    <sheet name="3.Analyze" sheetId="2" r:id="rId3"/>
    <sheet name="4.Results" sheetId="3" r:id="rId4"/>
    <sheet name="AutoIn" sheetId="5" state="hidden" r:id="rId5"/>
    <sheet name="AutoOut" sheetId="6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Schild</author>
  </authors>
  <commentList>
    <comment ref="B2" authorId="0" shapeId="0" xr:uid="{8ADD1032-5D56-41E2-AC7C-2FA6879AFE3F}">
      <text>
        <r>
          <rPr>
            <b/>
            <sz val="9"/>
            <color indexed="81"/>
            <rFont val="Tahoma"/>
            <family val="2"/>
          </rPr>
          <t xml:space="preserve">Largest exponent </t>
        </r>
        <r>
          <rPr>
            <b/>
            <i/>
            <sz val="9"/>
            <color indexed="12"/>
            <rFont val="Tahoma"/>
            <family val="2"/>
          </rPr>
          <t>n</t>
        </r>
        <r>
          <rPr>
            <b/>
            <sz val="9"/>
            <color indexed="81"/>
            <rFont val="Tahoma"/>
            <family val="2"/>
          </rPr>
          <t xml:space="preserve"> in the </t>
        </r>
        <r>
          <rPr>
            <b/>
            <u/>
            <sz val="9"/>
            <color indexed="81"/>
            <rFont val="Tahoma"/>
            <family val="2"/>
          </rPr>
          <t>numerator</t>
        </r>
        <r>
          <rPr>
            <b/>
            <sz val="9"/>
            <color indexed="81"/>
            <rFont val="Tahoma"/>
            <family val="2"/>
          </rPr>
          <t xml:space="preserve"> of the solved rational function:
</t>
        </r>
        <r>
          <rPr>
            <sz val="9"/>
            <color indexed="12"/>
            <rFont val="Tahoma"/>
            <family val="2"/>
          </rPr>
          <t>y = (a0 + a1·x + a2·x^2 +...+  a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(b0 + b1·x + b2·x^2 +...+  b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</text>
    </comment>
    <comment ref="B3" authorId="0" shapeId="0" xr:uid="{480A7971-E001-493C-9620-DE34A0A67B61}">
      <text>
        <r>
          <rPr>
            <b/>
            <sz val="9"/>
            <color indexed="81"/>
            <rFont val="Tahoma"/>
            <family val="2"/>
          </rPr>
          <t xml:space="preserve">Largest exponent </t>
        </r>
        <r>
          <rPr>
            <b/>
            <i/>
            <sz val="9"/>
            <color indexed="12"/>
            <rFont val="Tahoma"/>
            <family val="2"/>
          </rPr>
          <t>m</t>
        </r>
        <r>
          <rPr>
            <b/>
            <sz val="9"/>
            <color indexed="81"/>
            <rFont val="Tahoma"/>
            <family val="2"/>
          </rPr>
          <t xml:space="preserve"> in the </t>
        </r>
        <r>
          <rPr>
            <b/>
            <u/>
            <sz val="9"/>
            <color indexed="81"/>
            <rFont val="Tahoma"/>
            <family val="2"/>
          </rPr>
          <t>denominator</t>
        </r>
        <r>
          <rPr>
            <b/>
            <sz val="9"/>
            <color indexed="81"/>
            <rFont val="Tahoma"/>
            <family val="2"/>
          </rPr>
          <t xml:space="preserve"> of the solved rational function:
</t>
        </r>
        <r>
          <rPr>
            <sz val="9"/>
            <color indexed="12"/>
            <rFont val="Tahoma"/>
            <family val="2"/>
          </rPr>
          <t>y = (a0 + a1·x + a2·x^2 +...+  a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(b0 + b1·x + b2·x^2 +...+  b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</text>
    </comment>
    <comment ref="B4" authorId="0" shapeId="0" xr:uid="{8394632C-121B-41E9-8E84-6CFE582979F6}">
      <text>
        <r>
          <rPr>
            <b/>
            <sz val="9"/>
            <color indexed="81"/>
            <rFont val="Tahoma"/>
            <family val="2"/>
          </rPr>
          <t xml:space="preserve">Maximum number of coefficients </t>
        </r>
        <r>
          <rPr>
            <sz val="9"/>
            <color indexed="81"/>
            <rFont val="Tahoma"/>
            <family val="2"/>
          </rPr>
          <t>(a &amp; b)</t>
        </r>
        <r>
          <rPr>
            <b/>
            <sz val="9"/>
            <color indexed="81"/>
            <rFont val="Tahoma"/>
            <family val="2"/>
          </rPr>
          <t xml:space="preserve"> in the solved rational function:
  </t>
        </r>
        <r>
          <rPr>
            <sz val="9"/>
            <color indexed="12"/>
            <rFont val="Tahoma"/>
            <family val="2"/>
          </rPr>
          <t>y = (a0 + a1·x + a2·x^2 +...+  a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(b0 + b1·x + b2·x^2 +...+  b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 xml:space="preserve">)
</t>
        </r>
        <r>
          <rPr>
            <sz val="9"/>
            <color indexed="81"/>
            <rFont val="Tahoma"/>
            <family val="2"/>
          </rPr>
          <t xml:space="preserve">● This number limits the maximum complexity of the solved equation.
● This number can be any value between </t>
        </r>
        <r>
          <rPr>
            <sz val="9"/>
            <color indexed="12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+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+1</t>
        </r>
        <r>
          <rPr>
            <sz val="9"/>
            <color indexed="81"/>
            <rFont val="Tahoma"/>
            <family val="2"/>
          </rPr>
          <t xml:space="preserve">.
● </t>
        </r>
        <r>
          <rPr>
            <i/>
            <sz val="9"/>
            <color indexed="81"/>
            <rFont val="Tahoma"/>
            <family val="2"/>
          </rPr>
          <t>Note</t>
        </r>
        <r>
          <rPr>
            <sz val="9"/>
            <color indexed="81"/>
            <rFont val="Tahoma"/>
            <family val="2"/>
          </rPr>
          <t xml:space="preserve">: Either coefficient a0 or b0 is set to 1, and is not counted here as a "coefficient":
   For Padé approximation: b0=1, and a0 can have any value (also zero).
   For reciprocal Padé approximation: a0=1, and b0 can have any value (also zero).
● </t>
        </r>
        <r>
          <rPr>
            <i/>
            <sz val="9"/>
            <color indexed="81"/>
            <rFont val="Tahoma"/>
            <family val="2"/>
          </rPr>
          <t>Note</t>
        </r>
        <r>
          <rPr>
            <sz val="9"/>
            <color indexed="81"/>
            <rFont val="Tahoma"/>
            <family val="2"/>
          </rPr>
          <t>: reciprocal Padé approximation is only attempted of all x and y values are non-zero.</t>
        </r>
      </text>
    </comment>
    <comment ref="B5" authorId="0" shapeId="0" xr:uid="{D96CEDF8-12D2-4E09-B905-D86D3DF17499}">
      <text>
        <r>
          <rPr>
            <b/>
            <sz val="9"/>
            <color indexed="81"/>
            <rFont val="Tahoma"/>
            <family val="2"/>
          </rPr>
          <t xml:space="preserve">The program tests all the solved rational functions for singularities. </t>
        </r>
        <r>
          <rPr>
            <b/>
            <sz val="9"/>
            <color indexed="12"/>
            <rFont val="Tahoma"/>
            <family val="2"/>
          </rPr>
          <t>Recommented test resolution value is 2+</t>
        </r>
        <r>
          <rPr>
            <b/>
            <sz val="9"/>
            <color indexed="81"/>
            <rFont val="Tahoma"/>
            <family val="2"/>
          </rPr>
          <t xml:space="preserve">
● </t>
        </r>
        <r>
          <rPr>
            <sz val="9"/>
            <color indexed="81"/>
            <rFont val="Tahoma"/>
            <family val="2"/>
          </rPr>
          <t xml:space="preserve">A singularity is a "divide-by-zero" error that occurs if the denominator polynomial value becomes zero for specific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(the roots of the polynomial).
● Singularities can be discovered by seeing a change in sign (+/-) of the value of the denominator between to neighbouring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.
● This is a brute-force test, i.e. the denominator is calculated for multiple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covering the whole range in column A of sheet </t>
        </r>
        <r>
          <rPr>
            <b/>
            <sz val="9"/>
            <color indexed="81"/>
            <rFont val="Tahoma"/>
            <family val="2"/>
          </rPr>
          <t>1.Data</t>
        </r>
        <r>
          <rPr>
            <sz val="9"/>
            <color indexed="81"/>
            <rFont val="Tahoma"/>
            <family val="2"/>
          </rPr>
          <t xml:space="preserve">.
● A test resolution of 10 means that 10 equi-distant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are tested between each pair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-values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(i) and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(i+1) in column A of sheet </t>
        </r>
        <r>
          <rPr>
            <b/>
            <sz val="9"/>
            <color indexed="81"/>
            <rFont val="Tahoma"/>
            <family val="2"/>
          </rPr>
          <t>1.Data</t>
        </r>
        <r>
          <rPr>
            <sz val="9"/>
            <color indexed="81"/>
            <rFont val="Tahoma"/>
            <family val="2"/>
          </rPr>
          <t xml:space="preserve">.
● If a singuarity is discovered, then the program reports it in the "Equation" column of sheet </t>
        </r>
        <r>
          <rPr>
            <b/>
            <sz val="9"/>
            <color indexed="81"/>
            <rFont val="Tahoma"/>
            <family val="2"/>
          </rPr>
          <t>4.Results</t>
        </r>
        <r>
          <rPr>
            <sz val="9"/>
            <color indexed="81"/>
            <rFont val="Tahoma"/>
            <family val="2"/>
          </rPr>
          <t>.</t>
        </r>
      </text>
    </comment>
    <comment ref="B6" authorId="0" shapeId="0" xr:uid="{10F24EA9-96FD-4881-8305-CFB9DB79BB83}">
      <text>
        <r>
          <rPr>
            <b/>
            <sz val="9"/>
            <color indexed="81"/>
            <rFont val="Tahoma"/>
            <family val="2"/>
          </rPr>
          <t xml:space="preserve">Solution tolerance of polynomial coefficients:
</t>
        </r>
        <r>
          <rPr>
            <sz val="9"/>
            <color indexed="81"/>
            <rFont val="Tahoma"/>
            <family val="2"/>
          </rPr>
          <t xml:space="preserve">● If the y-values are affected by measurement uncertainty/noise, then outliers are ignored by increase the tolerance, e.g. </t>
        </r>
        <r>
          <rPr>
            <b/>
            <sz val="9"/>
            <color indexed="12"/>
            <rFont val="Tahoma"/>
            <family val="2"/>
          </rPr>
          <t>1E-5 or larger</t>
        </r>
        <r>
          <rPr>
            <sz val="9"/>
            <color indexed="81"/>
            <rFont val="Tahoma"/>
            <family val="2"/>
          </rPr>
          <t xml:space="preserve">
● If the y-values are true values (not affected by uncertainty), then use a tiny value of tolerance, e.g. </t>
        </r>
        <r>
          <rPr>
            <b/>
            <sz val="9"/>
            <color indexed="12"/>
            <rFont val="Tahoma"/>
            <family val="2"/>
          </rPr>
          <t>1E-9 or smaller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Schild</author>
  </authors>
  <commentList>
    <comment ref="A1" authorId="0" shapeId="0" xr:uid="{9EB0D9FD-0C88-46D9-B546-06C20ED7579F}">
      <text>
        <r>
          <rPr>
            <b/>
            <sz val="9"/>
            <color indexed="81"/>
            <rFont val="Tahoma"/>
            <family val="2"/>
          </rPr>
          <t>Number of coefficients in the rational function</t>
        </r>
      </text>
    </comment>
    <comment ref="B1" authorId="0" shapeId="0" xr:uid="{77EF5FE2-2977-4362-8583-BD9BD3215399}">
      <text>
        <r>
          <rPr>
            <b/>
            <sz val="9"/>
            <color indexed="81"/>
            <rFont val="Tahoma"/>
            <family val="2"/>
          </rPr>
          <t>Pearson's Correlation Coefficient squared (R²)
●</t>
        </r>
        <r>
          <rPr>
            <sz val="9"/>
            <color indexed="81"/>
            <rFont val="Tahoma"/>
            <family val="2"/>
          </rPr>
          <t xml:space="preserve"> Value of 1 indicates perfect fit. Value of zero indicates zero correlation.
● Is sometimes misleading for nonlinear regression, as it does not detect bias.
● Calculated with the formula:
</t>
        </r>
        <r>
          <rPr>
            <sz val="9"/>
            <color indexed="12"/>
            <rFont val="Tahoma"/>
            <family val="2"/>
          </rPr>
          <t xml:space="preserve">    R = Sxy / (√Sxx √Syy)</t>
        </r>
        <r>
          <rPr>
            <sz val="9"/>
            <color indexed="81"/>
            <rFont val="Tahoma"/>
            <family val="2"/>
          </rPr>
          <t xml:space="preserve">
  where:
</t>
        </r>
        <r>
          <rPr>
            <sz val="9"/>
            <color indexed="12"/>
            <rFont val="Tahoma"/>
            <family val="2"/>
          </rPr>
          <t xml:space="preserve">    Sxy = SUM[(Ytrue,i - Ytrue,mean)·(Ycalc,i - Ycalc,mean)]
    Sxx = SUM[(Ytrue,i - Ytrue,mean)²]
    Syy = SUM[(Ycalc,i - Ycalc,mean)²]</t>
        </r>
      </text>
    </comment>
    <comment ref="C1" authorId="0" shapeId="0" xr:uid="{168ADCD9-63D1-430C-94A3-38D1A9C743E2}">
      <text>
        <r>
          <rPr>
            <b/>
            <sz val="9"/>
            <color indexed="81"/>
            <rFont val="Tahoma"/>
            <family val="2"/>
          </rPr>
          <t>Normalized Mean Squared Error (nMSE)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b/>
            <sz val="9"/>
            <color indexed="81"/>
            <rFont val="Tahoma"/>
            <family val="2"/>
          </rPr>
          <t>Reduced Chi-squared statistic (X²)</t>
        </r>
        <r>
          <rPr>
            <sz val="9"/>
            <color indexed="81"/>
            <rFont val="Tahoma"/>
            <family val="2"/>
          </rPr>
          <t xml:space="preserve"> if weights are input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Normalized Mean Squared Error (nMSE), a.k.a. Normalized Mean Squared Deviation:</t>
        </r>
        <r>
          <rPr>
            <sz val="9"/>
            <color indexed="81"/>
            <rFont val="Tahoma"/>
            <family val="2"/>
          </rPr>
          <t xml:space="preserve">
● A tiny value indicates good fit.
● A high value above 1 is worse than a function with a single constant!, i.e. f(y)=Ymean.
● NMSE is a better measure of goodness of fit than R², in the case of nonlinear regression.
● Calculated only when weights (standard deviations) are </t>
        </r>
        <r>
          <rPr>
            <b/>
            <sz val="9"/>
            <color indexed="81"/>
            <rFont val="Tahoma"/>
            <family val="2"/>
          </rPr>
          <t>not</t>
        </r>
        <r>
          <rPr>
            <sz val="9"/>
            <color indexed="81"/>
            <rFont val="Tahoma"/>
            <family val="2"/>
          </rPr>
          <t xml:space="preserve"> input, with the following equation:
    </t>
        </r>
        <r>
          <rPr>
            <sz val="9"/>
            <color indexed="12"/>
            <rFont val="Tahoma"/>
            <family val="2"/>
          </rPr>
          <t>nMSE = SSE / SST</t>
        </r>
        <r>
          <rPr>
            <sz val="9"/>
            <color indexed="81"/>
            <rFont val="Tahoma"/>
            <family val="2"/>
          </rPr>
          <t xml:space="preserve">
  where:
    Sum of Squared Errors: </t>
        </r>
        <r>
          <rPr>
            <sz val="9"/>
            <color indexed="12"/>
            <rFont val="Tahoma"/>
            <family val="2"/>
          </rPr>
          <t xml:space="preserve">SSE = SUM[(Ycalc,i - Ytrue,i)²]
</t>
        </r>
        <r>
          <rPr>
            <sz val="9"/>
            <color indexed="81"/>
            <rFont val="Tahoma"/>
            <family val="2"/>
          </rPr>
          <t xml:space="preserve">    Total Sum of Squares: </t>
        </r>
        <r>
          <rPr>
            <sz val="9"/>
            <color indexed="12"/>
            <rFont val="Tahoma"/>
            <family val="2"/>
          </rPr>
          <t>SST = SUM[(Ycalc,i - Ymean,i)²]</t>
        </r>
        <r>
          <rPr>
            <sz val="9"/>
            <color indexed="81"/>
            <rFont val="Tahoma"/>
            <family val="2"/>
          </rPr>
          <t xml:space="preserve">
● This number is used to estimate the Log Likelihood in AIC.
</t>
        </r>
        <r>
          <rPr>
            <b/>
            <sz val="9"/>
            <color indexed="81"/>
            <rFont val="Tahoma"/>
            <family val="2"/>
          </rPr>
          <t>Redcued Chi-squared statistic (X²):</t>
        </r>
        <r>
          <rPr>
            <sz val="9"/>
            <color indexed="81"/>
            <rFont val="Tahoma"/>
            <family val="2"/>
          </rPr>
          <t xml:space="preserve">
● Tiny value indicates good fit.
● Takes into account individual weight (1/uncertainty) for each data point.
● Calculated only if weights </t>
        </r>
        <r>
          <rPr>
            <b/>
            <sz val="9"/>
            <color indexed="81"/>
            <rFont val="Tahoma"/>
            <family val="2"/>
          </rPr>
          <t>are</t>
        </r>
        <r>
          <rPr>
            <sz val="9"/>
            <color indexed="81"/>
            <rFont val="Tahoma"/>
            <family val="2"/>
          </rPr>
          <t xml:space="preserve"> input (i.e. weight = 1/σ where σ = standard deviation):
    </t>
        </r>
        <r>
          <rPr>
            <sz val="9"/>
            <color indexed="12"/>
            <rFont val="Tahoma"/>
            <family val="2"/>
          </rPr>
          <t>X² = SUM[ ((Ycalc,i - Ytrue,i) / σ,i)² ]  / (N-1)</t>
        </r>
        <r>
          <rPr>
            <sz val="9"/>
            <color indexed="81"/>
            <rFont val="Tahoma"/>
            <family val="2"/>
          </rPr>
          <t xml:space="preserve">
  where:
    σ,i = standard deviation of Ytrue,i = 1/weight, 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= number of data points
● This number is used to estimate the Log Likelihood in AIC.</t>
        </r>
      </text>
    </comment>
    <comment ref="D1" authorId="0" shapeId="0" xr:uid="{2D412141-8FFD-4150-87BA-711E2B1BCF57}">
      <text>
        <r>
          <rPr>
            <b/>
            <sz val="9"/>
            <color indexed="81"/>
            <rFont val="Tahoma"/>
            <family val="2"/>
          </rPr>
          <t>Normalized (Weighted) Mean Absolute Error
●</t>
        </r>
        <r>
          <rPr>
            <sz val="9"/>
            <color indexed="81"/>
            <rFont val="Tahoma"/>
            <family val="2"/>
          </rPr>
          <t xml:space="preserve"> Tiny value indicates good fit.
● A high value above 1 is worse than a function with a single constant!, i.e. f(y)=Ymean.
● This statistics is less sentitive to outliers than is NMSE
● If no weights are given (in Column C of sheet 1.Data), then all Y-values are given equal Weight=1.
● Calculated with the following equation:
</t>
        </r>
        <r>
          <rPr>
            <sz val="9"/>
            <color indexed="12"/>
            <rFont val="Tahoma"/>
            <family val="2"/>
          </rPr>
          <t xml:space="preserve">    nwMAE = SWAE / SWAM</t>
        </r>
        <r>
          <rPr>
            <sz val="9"/>
            <color indexed="81"/>
            <rFont val="Tahoma"/>
            <family val="2"/>
          </rPr>
          <t xml:space="preserve">
  where:
    Sum of Weighted Absolute Errors: </t>
        </r>
        <r>
          <rPr>
            <sz val="9"/>
            <color indexed="12"/>
            <rFont val="Tahoma"/>
            <family val="2"/>
          </rPr>
          <t>SWAE = SUM[ABS(Ycalc,i - Ytrue,i) · Weight,i]</t>
        </r>
        <r>
          <rPr>
            <sz val="9"/>
            <color indexed="81"/>
            <rFont val="Tahoma"/>
            <family val="2"/>
          </rPr>
          <t xml:space="preserve">  for i=1 to N
    Sum of Weighted Absolute deviation from Mean: </t>
        </r>
        <r>
          <rPr>
            <sz val="9"/>
            <color indexed="12"/>
            <rFont val="Tahoma"/>
            <family val="2"/>
          </rPr>
          <t>SWAM = SUM[ABS(Ymean,i - Ytrue,i) · Weight,i]</t>
        </r>
        <r>
          <rPr>
            <sz val="9"/>
            <color indexed="81"/>
            <rFont val="Tahoma"/>
            <family val="2"/>
          </rPr>
          <t xml:space="preserve">  for i=1 to N</t>
        </r>
      </text>
    </comment>
    <comment ref="E1" authorId="0" shapeId="0" xr:uid="{2CC1B8E1-5A74-40B7-9A65-7985D0E21409}">
      <text>
        <r>
          <rPr>
            <b/>
            <sz val="9"/>
            <color indexed="81"/>
            <rFont val="Tahoma"/>
            <family val="2"/>
          </rPr>
          <t>Maximum Absolute Error</t>
        </r>
        <r>
          <rPr>
            <sz val="9"/>
            <color indexed="81"/>
            <rFont val="Tahoma"/>
            <family val="2"/>
          </rPr>
          <t>, a.k.a. Maximum Absolute Deviation</t>
        </r>
        <r>
          <rPr>
            <b/>
            <sz val="9"/>
            <color indexed="81"/>
            <rFont val="Tahoma"/>
            <family val="2"/>
          </rPr>
          <t xml:space="preserve">
●</t>
        </r>
        <r>
          <rPr>
            <sz val="9"/>
            <color indexed="81"/>
            <rFont val="Tahoma"/>
            <family val="2"/>
          </rPr>
          <t xml:space="preserve"> Low value indicates good fit
● This is useful because the other statistics are not so sensitive to single values with poor fit
● Calculated using equation </t>
        </r>
        <r>
          <rPr>
            <sz val="9"/>
            <color indexed="12"/>
            <rFont val="Tahoma"/>
            <family val="2"/>
          </rPr>
          <t>MAX [ABS(Ycalc,i - Ytue,i)]</t>
        </r>
        <r>
          <rPr>
            <sz val="9"/>
            <color indexed="81"/>
            <rFont val="Tahoma"/>
            <family val="2"/>
          </rPr>
          <t xml:space="preserve">  for all i=1 to N</t>
        </r>
      </text>
    </comment>
    <comment ref="F1" authorId="0" shapeId="0" xr:uid="{8FF9DF6A-A4D6-4800-B1D3-7D98C6641928}">
      <text>
        <r>
          <rPr>
            <b/>
            <sz val="9"/>
            <color indexed="81"/>
            <rFont val="Tahoma"/>
            <family val="2"/>
          </rPr>
          <t>Akaike Information Criterion (AIC)
●</t>
        </r>
        <r>
          <rPr>
            <sz val="9"/>
            <color indexed="81"/>
            <rFont val="Tahoma"/>
            <family val="2"/>
          </rPr>
          <t xml:space="preserve"> Low value (i.e. can a be large negative) indicates a good compromise between accuracy (low NMSE) and complexity (number of coefficients).
● Use AIC to find parsimonious equations, i.e. simple equations with great explanatory power. They fit data well with a minimum number of coefficients.
● This implementation is 2nd-order accurate, i.e. adjusting for the sample size:
     </t>
        </r>
        <r>
          <rPr>
            <sz val="9"/>
            <color indexed="12"/>
            <rFont val="Tahoma"/>
            <family val="2"/>
          </rPr>
          <t>AIC ≈ SSE / SSE</t>
        </r>
        <r>
          <rPr>
            <vertAlign val="subscript"/>
            <sz val="9"/>
            <color indexed="12"/>
            <rFont val="Tahoma"/>
            <family val="2"/>
          </rPr>
          <t>min</t>
        </r>
        <r>
          <rPr>
            <sz val="9"/>
            <color indexed="12"/>
            <rFont val="Tahoma"/>
            <family val="2"/>
          </rPr>
          <t xml:space="preserve"> + 2·k·N/(N-k-1)  </t>
        </r>
        <r>
          <rPr>
            <sz val="9"/>
            <color indexed="81"/>
            <rFont val="Tahoma"/>
            <family val="2"/>
          </rPr>
          <t xml:space="preserve">
   where: 
     </t>
        </r>
        <r>
          <rPr>
            <i/>
            <sz val="9"/>
            <color indexed="81"/>
            <rFont val="Tahoma"/>
            <family val="2"/>
          </rPr>
          <t>SSE</t>
        </r>
        <r>
          <rPr>
            <sz val="9"/>
            <color indexed="81"/>
            <rFont val="Tahoma"/>
            <family val="2"/>
          </rPr>
          <t xml:space="preserve"> = SUM[(Ycalc,i - Ytrue,i)²], where Ycalc is calculated for each data point </t>
        </r>
        <r>
          <rPr>
            <i/>
            <sz val="9"/>
            <color indexed="81"/>
            <rFont val="Tahoma"/>
            <family val="2"/>
          </rPr>
          <t>i</t>
        </r>
        <r>
          <rPr>
            <sz val="9"/>
            <color indexed="81"/>
            <rFont val="Tahoma"/>
            <family val="2"/>
          </rPr>
          <t xml:space="preserve"> with the fitted rational function coefficients
     </t>
        </r>
        <r>
          <rPr>
            <i/>
            <sz val="9"/>
            <color indexed="81"/>
            <rFont val="Tahoma"/>
            <family val="2"/>
          </rPr>
          <t>SSE</t>
        </r>
        <r>
          <rPr>
            <vertAlign val="subscript"/>
            <sz val="9"/>
            <color indexed="81"/>
            <rFont val="Tahoma"/>
            <family val="2"/>
          </rPr>
          <t>min</t>
        </r>
        <r>
          <rPr>
            <sz val="9"/>
            <color indexed="81"/>
            <rFont val="Tahoma"/>
            <family val="2"/>
          </rPr>
          <t xml:space="preserve"> = an estimate of the variance in Ytrue, and is the lowest SSE of all equations, but limited to min 1E-29.
    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= number of data points
     </t>
        </r>
        <r>
          <rPr>
            <i/>
            <sz val="9"/>
            <color indexed="81"/>
            <rFont val="Tahoma"/>
            <family val="2"/>
          </rPr>
          <t>k</t>
        </r>
        <r>
          <rPr>
            <sz val="9"/>
            <color indexed="81"/>
            <rFont val="Tahoma"/>
            <family val="2"/>
          </rPr>
          <t xml:space="preserve"> = number of coefficients
● The above equation is fundamentally equivalent to Mallow's </t>
        </r>
        <r>
          <rPr>
            <i/>
            <sz val="9"/>
            <color indexed="81"/>
            <rFont val="Tahoma"/>
            <family val="2"/>
          </rPr>
          <t>Cp</t>
        </r>
        <r>
          <rPr>
            <sz val="9"/>
            <color indexed="81"/>
            <rFont val="Tahoma"/>
            <family val="2"/>
          </rPr>
          <t xml:space="preserve"> statistic.</t>
        </r>
      </text>
    </comment>
    <comment ref="G1" authorId="0" shapeId="0" xr:uid="{AC42372F-BBCC-43C0-89D0-1771FB5C471C}">
      <text>
        <r>
          <rPr>
            <b/>
            <sz val="9"/>
            <color indexed="81"/>
            <rFont val="Tahoma"/>
            <family val="2"/>
          </rPr>
          <t>Pareto front : Candidates for best equation
A</t>
        </r>
        <r>
          <rPr>
            <sz val="9"/>
            <color indexed="81"/>
            <rFont val="Tahoma"/>
            <family val="2"/>
          </rPr>
          <t xml:space="preserve"> : best AIC statistic (irrespective of number of coefficients)
</t>
        </r>
        <r>
          <rPr>
            <b/>
            <sz val="9"/>
            <color indexed="81"/>
            <rFont val="Tahoma"/>
            <family val="2"/>
          </rPr>
          <t>E</t>
        </r>
        <r>
          <rPr>
            <sz val="9"/>
            <color indexed="81"/>
            <rFont val="Tahoma"/>
            <family val="2"/>
          </rPr>
          <t xml:space="preserve"> : lowest Max Absolute Error (MaxAE) for given number of coefficients *
</t>
        </r>
        <r>
          <rPr>
            <b/>
            <sz val="9"/>
            <color indexed="81"/>
            <rFont val="Tahoma"/>
            <family val="2"/>
          </rPr>
          <t>X²</t>
        </r>
        <r>
          <rPr>
            <sz val="9"/>
            <color indexed="81"/>
            <rFont val="Tahoma"/>
            <family val="2"/>
          </rPr>
          <t xml:space="preserve"> : lowest X² or NMSE error statistic for given number of coefficients *
</t>
        </r>
        <r>
          <rPr>
            <b/>
            <sz val="9"/>
            <color indexed="81"/>
            <rFont val="Tahoma"/>
            <family val="2"/>
          </rPr>
          <t>!</t>
        </r>
        <r>
          <rPr>
            <sz val="9"/>
            <color indexed="81"/>
            <rFont val="Tahoma"/>
            <family val="2"/>
          </rPr>
          <t xml:space="preserve"> : lowest X² or NMSE error statistic (irrespective of number of coefficients)
(* Lower case letter means not on Pareto front, i.e. inferior compared to an eqn with fewer coefficients)</t>
        </r>
      </text>
    </comment>
    <comment ref="H1" authorId="0" shapeId="0" xr:uid="{0961E7B6-794D-43FF-9B90-9BADEF339F83}">
      <text>
        <r>
          <rPr>
            <b/>
            <sz val="9"/>
            <color indexed="81"/>
            <rFont val="Tahoma"/>
            <family val="2"/>
          </rPr>
          <t xml:space="preserve">Solved rational function:
</t>
        </r>
        <r>
          <rPr>
            <sz val="9"/>
            <color indexed="81"/>
            <rFont val="Tahoma"/>
            <family val="2"/>
          </rPr>
          <t xml:space="preserve">The rational function:
</t>
        </r>
        <r>
          <rPr>
            <sz val="9"/>
            <color indexed="12"/>
            <rFont val="Tahoma"/>
            <family val="2"/>
          </rPr>
          <t xml:space="preserve">   y = (a0 + a1·x + a2·x^2 +...+ a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(b0 + b1·x + b2·x^2 +...+ b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is expressed in this column using Horner's nested scheme, for fastest possible calculation:
</t>
        </r>
        <r>
          <rPr>
            <sz val="9"/>
            <color indexed="12"/>
            <rFont val="Tahoma"/>
            <family val="2"/>
          </rPr>
          <t xml:space="preserve">   y = (a0 +x(a1 +x(a2 +x(a3 +... a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·x)))) / (b0 +x(b1 +x(b2 +x(b3 +... b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·x))))</t>
        </r>
      </text>
    </comment>
    <comment ref="I1" authorId="0" shapeId="0" xr:uid="{FD463898-CEBC-4C98-B96B-66896376CBE6}">
      <text>
        <r>
          <rPr>
            <b/>
            <sz val="9"/>
            <color indexed="81"/>
            <rFont val="Tahoma"/>
            <family val="2"/>
          </rPr>
          <t xml:space="preserve">Polnomial coefficients in the rational function:
</t>
        </r>
        <r>
          <rPr>
            <sz val="9"/>
            <color indexed="12"/>
            <rFont val="Tahoma"/>
            <family val="2"/>
          </rPr>
          <t>y = (a0 + a1·x + a2·x^2 +...+  an·x^n) / (b0 + b1·x + b2·x^2 +...+  bm·x^m)</t>
        </r>
      </text>
    </comment>
  </commentList>
</comments>
</file>

<file path=xl/sharedStrings.xml><?xml version="1.0" encoding="utf-8"?>
<sst xmlns="http://schemas.openxmlformats.org/spreadsheetml/2006/main" count="47" uniqueCount="47">
  <si>
    <t>AIC</t>
  </si>
  <si>
    <t>R²</t>
  </si>
  <si>
    <t>Max no. of coefficients altogether</t>
  </si>
  <si>
    <t>Equation</t>
  </si>
  <si>
    <t>N.coeffs</t>
  </si>
  <si>
    <t>Pareto</t>
  </si>
  <si>
    <t>Resolution, test equation singularities</t>
  </si>
  <si>
    <t>Largest exponent in numerator</t>
  </si>
  <si>
    <t>Largest exponent in denominator</t>
  </si>
  <si>
    <t>a0</t>
  </si>
  <si>
    <t>a1·x</t>
  </si>
  <si>
    <t>a2·x^2</t>
  </si>
  <si>
    <t>b0</t>
  </si>
  <si>
    <t>b1·x</t>
  </si>
  <si>
    <t>b2·x^2</t>
  </si>
  <si>
    <r>
      <t xml:space="preserve">Calculating </t>
    </r>
    <r>
      <rPr>
        <b/>
        <sz val="11"/>
        <color theme="1"/>
        <rFont val="Calibri"/>
        <family val="2"/>
      </rPr>
      <t>…</t>
    </r>
  </si>
  <si>
    <t>Solution tolerance</t>
  </si>
  <si>
    <t>Calcultion settings:</t>
  </si>
  <si>
    <t>MaxAE</t>
  </si>
  <si>
    <t xml:space="preserve">X² E </t>
  </si>
  <si>
    <t>X² E A!</t>
  </si>
  <si>
    <t>nMAE</t>
  </si>
  <si>
    <t>nMSE</t>
  </si>
  <si>
    <t>y=415.166666666667</t>
  </si>
  <si>
    <t>y=27.7868852459016*x</t>
  </si>
  <si>
    <t>y=1.17927572606669*x ^2</t>
  </si>
  <si>
    <t>y=1 / 1.66845300314173E-03</t>
  </si>
  <si>
    <t>y=1 / (5.64965857230028E-05*x)</t>
  </si>
  <si>
    <t>y=1 / (1.89471863793748E-06*x ^2)</t>
  </si>
  <si>
    <t>y=-65.3333333333334 +31*x</t>
  </si>
  <si>
    <t>y=100 +1*x ^2</t>
  </si>
  <si>
    <t>y=143.779996026921 / (1 -3.09890574524402E-02*x)</t>
  </si>
  <si>
    <t>y=200.04754246596 / (1 -1.03763562403036E-03*x ^2)</t>
  </si>
  <si>
    <t>y=x*(13.1088825214899 +0.641833810888253*x)</t>
  </si>
  <si>
    <t>y=17.1251273501899*x / (1 -1.62082059831435E-02*x)</t>
  </si>
  <si>
    <t>y=20.3424888366922*x / (1 -4.52328269222386E-04*x ^2)</t>
  </si>
  <si>
    <t>y=1.99180493636321*x ^2 / (1 +2.75385920440141E-02*x)</t>
  </si>
  <si>
    <t>y=1.55151956229328*x ^2 / (1 +4.87351601437362E-04*x ^2)</t>
  </si>
  <si>
    <t>y=(1 -0.127788554801164*x) / -2.82896863886195E-03</t>
  </si>
  <si>
    <t>y=(1 -0.099950603562718*x) / (-7.71819332530641E-05*x)</t>
  </si>
  <si>
    <t>y=(1 -8.18772382423799E-02*x) / (-1.9866938923189E-06*x ^2)</t>
  </si>
  <si>
    <t>y=(1 +9.99999999999998E-03*x ^2) / 9.99999999999999E-03</t>
  </si>
  <si>
    <t>y=(1 -9.91804936363208E-03*x ^2) / (-2.7538592044014E-04*x)</t>
  </si>
  <si>
    <t>y=(1 -5.51519562293282E-03*x ^2) / (-4.87351601437362E-06*x ^2)</t>
  </si>
  <si>
    <t>y=1 / (6.20539149643512E-03 -1.86209532424569E-04*x)</t>
  </si>
  <si>
    <t>y=1 / (4.15468655955683E-03 -3.9910988072632E-06*x ^2)</t>
  </si>
  <si>
    <t>y=1 / (x*(3.39015571804994E-04 -1.0739544886758E-05*x))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</si>
</sst>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9"/>
      <color indexed="12"/>
      <name val="Tahoma"/>
      <family val="2"/>
    </font>
    <font>
      <b/>
      <sz val="14"/>
      <color rgb="FFC00000"/>
      <name val="Calibri"/>
      <family val="2"/>
      <scheme val="minor"/>
    </font>
    <font>
      <b/>
      <i/>
      <sz val="9"/>
      <color indexed="12"/>
      <name val="Tahoma"/>
      <family val="2"/>
    </font>
    <font>
      <i/>
      <sz val="9"/>
      <color indexed="12"/>
      <name val="Tahoma"/>
      <family val="2"/>
    </font>
    <font>
      <i/>
      <sz val="9"/>
      <color indexed="81"/>
      <name val="Tahoma"/>
      <family val="2"/>
    </font>
    <font>
      <b/>
      <sz val="9"/>
      <color indexed="12"/>
      <name val="Tahoma"/>
      <family val="2"/>
    </font>
    <font>
      <b/>
      <u/>
      <sz val="9"/>
      <color indexed="81"/>
      <name val="Tahoma"/>
      <family val="2"/>
    </font>
    <font>
      <vertAlign val="subscript"/>
      <sz val="9"/>
      <color indexed="12"/>
      <name val="Tahoma"/>
      <family val="2"/>
    </font>
    <font>
      <vertAlign val="subscript"/>
      <sz val="9"/>
      <color indexed="81"/>
      <name val="Tahoma"/>
      <family val="2"/>
    </font>
    <font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3" fillId="0" borderId="0" xfId="0" quotePrefix="1" applyFont="1" applyAlignment="1">
      <alignment horizontal="left"/>
    </xf>
    <xf numFmtId="0" fontId="3" fillId="0" borderId="0" xfId="0" quotePrefix="1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4" fillId="3" borderId="0" xfId="0" applyFont="1" applyFill="1"/>
    <xf numFmtId="11" fontId="0" fillId="0" borderId="0" xfId="0" applyNumberFormat="1" applyFill="1"/>
    <xf numFmtId="0" fontId="0" fillId="2" borderId="0" xfId="0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0" fontId="15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C0C0C0"/>
      <color rgb="FF00FF00"/>
      <color rgb="FF00FF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'1.Data'!$A$1:$A$101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'1.Data'!$B$1:$B$101</c:f>
              <c:numCache>
                <c:formatCode>General</c:formatCode>
                <c:ptCount val="101"/>
                <c:pt idx="0">
                  <c:v>101</c:v>
                </c:pt>
                <c:pt idx="1">
                  <c:v>104</c:v>
                </c:pt>
                <c:pt idx="2">
                  <c:v>109</c:v>
                </c:pt>
                <c:pt idx="3">
                  <c:v>116</c:v>
                </c:pt>
                <c:pt idx="4">
                  <c:v>125</c:v>
                </c:pt>
                <c:pt idx="5">
                  <c:v>136</c:v>
                </c:pt>
                <c:pt idx="6">
                  <c:v>149</c:v>
                </c:pt>
                <c:pt idx="7">
                  <c:v>164</c:v>
                </c:pt>
                <c:pt idx="8">
                  <c:v>181</c:v>
                </c:pt>
                <c:pt idx="9">
                  <c:v>200</c:v>
                </c:pt>
                <c:pt idx="10">
                  <c:v>221</c:v>
                </c:pt>
                <c:pt idx="11">
                  <c:v>244</c:v>
                </c:pt>
                <c:pt idx="12">
                  <c:v>269</c:v>
                </c:pt>
                <c:pt idx="13">
                  <c:v>296</c:v>
                </c:pt>
                <c:pt idx="14">
                  <c:v>325</c:v>
                </c:pt>
                <c:pt idx="15">
                  <c:v>356</c:v>
                </c:pt>
                <c:pt idx="16">
                  <c:v>389</c:v>
                </c:pt>
                <c:pt idx="17">
                  <c:v>424</c:v>
                </c:pt>
                <c:pt idx="18">
                  <c:v>461</c:v>
                </c:pt>
                <c:pt idx="19">
                  <c:v>500</c:v>
                </c:pt>
                <c:pt idx="20">
                  <c:v>541</c:v>
                </c:pt>
                <c:pt idx="21">
                  <c:v>584</c:v>
                </c:pt>
                <c:pt idx="22">
                  <c:v>629</c:v>
                </c:pt>
                <c:pt idx="23">
                  <c:v>676</c:v>
                </c:pt>
                <c:pt idx="24">
                  <c:v>725</c:v>
                </c:pt>
                <c:pt idx="25">
                  <c:v>776</c:v>
                </c:pt>
                <c:pt idx="26">
                  <c:v>829</c:v>
                </c:pt>
                <c:pt idx="27">
                  <c:v>884</c:v>
                </c:pt>
                <c:pt idx="28">
                  <c:v>941</c:v>
                </c:pt>
                <c:pt idx="29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A-4246-99D6-6D5929DA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936992"/>
        <c:axId val="450961920"/>
      </c:scatterChart>
      <c:valAx>
        <c:axId val="152893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X-values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50961920"/>
        <c:crosses val="autoZero"/>
        <c:crossBetween val="midCat"/>
      </c:valAx>
      <c:valAx>
        <c:axId val="45096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Y-values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52893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390525</xdr:colOff>
      <xdr:row>2</xdr:row>
      <xdr:rowOff>104775</xdr:rowOff>
    </xdr:from>
    <xdr:to>
      <xdr:col>8</xdr:col>
      <xdr:colOff>466725</xdr:colOff>
      <xdr:row>22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0A8415-AB79-4984-A570-B94635BB3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1C359-CB1E-4E32-8660-B03426BE8861}">
  <sheetPr codeName="Sheet4">
    <tabColor rgb="FFFF0000"/>
  </sheetPr>
  <dimension ref="A1:BG69"/>
  <sheetViews>
    <sheetView tabSelected="1" workbookViewId="0">
      <selection activeCell="J5" sqref="J5"/>
    </sheetView>
  </sheetViews>
  <sheetFormatPr defaultRowHeight="15" x14ac:dyDescent="0.25"/>
  <cols>
    <col min="2" max="4" width="12" bestFit="1" customWidth="1"/>
    <col min="9" max="10" width="12" bestFit="1" customWidth="1"/>
  </cols>
  <sheetData>
    <row r="1" spans="1:59" x14ac:dyDescent="0.25">
      <c r="A1">
        <v>1</v>
      </c>
      <c r="B1">
        <f>100+A1^2</f>
        <v>101</v>
      </c>
      <c r="F1" s="13"/>
      <c r="I1" s="13"/>
      <c r="BG1" s="14"/>
    </row>
    <row r="2" spans="1:59" x14ac:dyDescent="0.25">
      <c r="A2">
        <v>2</v>
      </c>
      <c r="B2">
        <f t="shared" ref="B2:B30" si="0">100+A2^2</f>
        <v>104</v>
      </c>
      <c r="F2" s="13"/>
      <c r="I2" s="13"/>
      <c r="BG2" s="14"/>
    </row>
    <row r="3" spans="1:59" x14ac:dyDescent="0.25">
      <c r="A3">
        <v>3</v>
      </c>
      <c r="B3">
        <f t="shared" si="0"/>
        <v>109</v>
      </c>
      <c r="F3" s="13"/>
      <c r="I3" s="13"/>
      <c r="BG3" s="14"/>
    </row>
    <row r="4" spans="1:59" x14ac:dyDescent="0.25">
      <c r="A4">
        <v>4</v>
      </c>
      <c r="B4">
        <f t="shared" si="0"/>
        <v>116</v>
      </c>
      <c r="F4" s="13"/>
      <c r="I4" s="13"/>
      <c r="AR4" s="13"/>
      <c r="BG4" s="14"/>
    </row>
    <row r="5" spans="1:59" x14ac:dyDescent="0.25">
      <c r="A5">
        <v>5</v>
      </c>
      <c r="B5">
        <f t="shared" si="0"/>
        <v>125</v>
      </c>
      <c r="F5" s="13"/>
      <c r="I5" s="13"/>
      <c r="AR5" s="13"/>
      <c r="BG5" s="14"/>
    </row>
    <row r="6" spans="1:59" x14ac:dyDescent="0.25">
      <c r="A6">
        <v>6</v>
      </c>
      <c r="B6">
        <f t="shared" si="0"/>
        <v>136</v>
      </c>
      <c r="F6" s="13"/>
      <c r="I6" s="13"/>
      <c r="BG6" s="14"/>
    </row>
    <row r="7" spans="1:59" x14ac:dyDescent="0.25">
      <c r="A7">
        <v>7</v>
      </c>
      <c r="B7">
        <f t="shared" si="0"/>
        <v>149</v>
      </c>
      <c r="F7" s="13"/>
      <c r="I7" s="13"/>
      <c r="AR7" s="13"/>
      <c r="BG7" s="14"/>
    </row>
    <row r="8" spans="1:59" x14ac:dyDescent="0.25">
      <c r="A8">
        <v>8</v>
      </c>
      <c r="B8">
        <f t="shared" si="0"/>
        <v>164</v>
      </c>
      <c r="F8" s="13"/>
      <c r="I8" s="13"/>
      <c r="BG8" s="14"/>
    </row>
    <row r="9" spans="1:59" x14ac:dyDescent="0.25">
      <c r="A9">
        <v>9</v>
      </c>
      <c r="B9">
        <f t="shared" si="0"/>
        <v>181</v>
      </c>
      <c r="F9" s="13"/>
      <c r="I9" s="13"/>
      <c r="BG9" s="14"/>
    </row>
    <row r="10" spans="1:59" x14ac:dyDescent="0.25">
      <c r="A10">
        <v>10</v>
      </c>
      <c r="B10">
        <f t="shared" si="0"/>
        <v>200</v>
      </c>
      <c r="F10" s="13"/>
      <c r="I10" s="13"/>
      <c r="AR10" s="13"/>
      <c r="BG10" s="14"/>
    </row>
    <row r="11" spans="1:59" x14ac:dyDescent="0.25">
      <c r="A11">
        <v>11</v>
      </c>
      <c r="B11">
        <f t="shared" si="0"/>
        <v>221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R11" s="13"/>
      <c r="BG11" s="14"/>
    </row>
    <row r="12" spans="1:59" x14ac:dyDescent="0.25">
      <c r="A12">
        <v>12</v>
      </c>
      <c r="B12">
        <f t="shared" si="0"/>
        <v>244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R12" s="13"/>
      <c r="BG12" s="14"/>
    </row>
    <row r="13" spans="1:59" x14ac:dyDescent="0.25">
      <c r="A13">
        <v>13</v>
      </c>
      <c r="B13">
        <f t="shared" si="0"/>
        <v>269</v>
      </c>
      <c r="F13" s="13"/>
      <c r="I13" s="13"/>
      <c r="BG13" s="14"/>
    </row>
    <row r="14" spans="1:59" x14ac:dyDescent="0.25">
      <c r="A14">
        <v>14</v>
      </c>
      <c r="B14">
        <f t="shared" si="0"/>
        <v>296</v>
      </c>
      <c r="F14" s="13"/>
      <c r="I14" s="13"/>
      <c r="BG14" s="14"/>
    </row>
    <row r="15" spans="1:59" x14ac:dyDescent="0.25">
      <c r="A15">
        <v>15</v>
      </c>
      <c r="B15">
        <f t="shared" si="0"/>
        <v>325</v>
      </c>
      <c r="F15" s="13"/>
      <c r="I15" s="13"/>
      <c r="BG15" s="14"/>
    </row>
    <row r="16" spans="1:59" x14ac:dyDescent="0.25">
      <c r="A16">
        <v>16</v>
      </c>
      <c r="B16">
        <f t="shared" si="0"/>
        <v>356</v>
      </c>
      <c r="F16" s="13"/>
      <c r="I16" s="13"/>
      <c r="BG16" s="14"/>
    </row>
    <row r="17" spans="1:59" x14ac:dyDescent="0.25">
      <c r="A17">
        <v>17</v>
      </c>
      <c r="B17">
        <f t="shared" si="0"/>
        <v>389</v>
      </c>
      <c r="F17" s="13"/>
      <c r="I17" s="13"/>
      <c r="BG17" s="14"/>
    </row>
    <row r="18" spans="1:59" x14ac:dyDescent="0.25">
      <c r="A18">
        <v>18</v>
      </c>
      <c r="B18">
        <f t="shared" si="0"/>
        <v>424</v>
      </c>
      <c r="F18" s="13"/>
      <c r="I18" s="13"/>
      <c r="BG18" s="14"/>
    </row>
    <row r="19" spans="1:59" x14ac:dyDescent="0.25">
      <c r="A19">
        <v>19</v>
      </c>
      <c r="B19">
        <f t="shared" si="0"/>
        <v>461</v>
      </c>
      <c r="F19" s="13"/>
      <c r="I19" s="13"/>
      <c r="BG19" s="14"/>
    </row>
    <row r="20" spans="1:59" x14ac:dyDescent="0.25">
      <c r="A20">
        <v>20</v>
      </c>
      <c r="B20">
        <f t="shared" si="0"/>
        <v>500</v>
      </c>
      <c r="F20" s="13"/>
      <c r="I20" s="13"/>
      <c r="BG20" s="14"/>
    </row>
    <row r="21" spans="1:59" x14ac:dyDescent="0.25">
      <c r="A21">
        <v>21</v>
      </c>
      <c r="B21">
        <f t="shared" si="0"/>
        <v>541</v>
      </c>
      <c r="F21" s="13"/>
      <c r="I21" s="13"/>
      <c r="BG21" s="14"/>
    </row>
    <row r="22" spans="1:59" x14ac:dyDescent="0.25">
      <c r="A22">
        <v>22</v>
      </c>
      <c r="B22">
        <f t="shared" si="0"/>
        <v>584</v>
      </c>
      <c r="F22" s="13"/>
      <c r="I22" s="13"/>
      <c r="BG22" s="14"/>
    </row>
    <row r="23" spans="1:59" x14ac:dyDescent="0.25">
      <c r="A23">
        <v>23</v>
      </c>
      <c r="B23">
        <f t="shared" si="0"/>
        <v>629</v>
      </c>
      <c r="F23" s="13"/>
      <c r="I23" s="13"/>
      <c r="BG23" s="14"/>
    </row>
    <row r="24" spans="1:59" x14ac:dyDescent="0.25">
      <c r="A24">
        <v>24</v>
      </c>
      <c r="B24">
        <f t="shared" si="0"/>
        <v>676</v>
      </c>
      <c r="F24" s="13"/>
      <c r="I24" s="13"/>
      <c r="BG24" s="14"/>
    </row>
    <row r="25" spans="1:59" x14ac:dyDescent="0.25">
      <c r="A25">
        <v>25</v>
      </c>
      <c r="B25">
        <f t="shared" si="0"/>
        <v>725</v>
      </c>
      <c r="F25" s="13"/>
      <c r="I25" s="13"/>
      <c r="BG25" s="14"/>
    </row>
    <row r="26" spans="1:59" x14ac:dyDescent="0.25">
      <c r="A26">
        <v>26</v>
      </c>
      <c r="B26">
        <f t="shared" si="0"/>
        <v>776</v>
      </c>
      <c r="F26" s="13"/>
      <c r="I26" s="13"/>
      <c r="BG26" s="14"/>
    </row>
    <row r="27" spans="1:59" x14ac:dyDescent="0.25">
      <c r="A27">
        <v>27</v>
      </c>
      <c r="B27">
        <f t="shared" si="0"/>
        <v>829</v>
      </c>
      <c r="F27" s="13"/>
      <c r="I27" s="13"/>
      <c r="BG27" s="14"/>
    </row>
    <row r="28" spans="1:59" x14ac:dyDescent="0.25">
      <c r="A28">
        <v>28</v>
      </c>
      <c r="B28">
        <f t="shared" si="0"/>
        <v>884</v>
      </c>
      <c r="F28" s="13"/>
      <c r="I28" s="13"/>
      <c r="BG28" s="14"/>
    </row>
    <row r="29" spans="1:59" x14ac:dyDescent="0.25">
      <c r="A29">
        <v>29</v>
      </c>
      <c r="B29">
        <f t="shared" si="0"/>
        <v>941</v>
      </c>
      <c r="F29" s="13"/>
      <c r="I29" s="13"/>
      <c r="BG29" s="14"/>
    </row>
    <row r="30" spans="1:59" x14ac:dyDescent="0.25">
      <c r="A30">
        <v>30</v>
      </c>
      <c r="B30">
        <f t="shared" si="0"/>
        <v>1000</v>
      </c>
      <c r="F30" s="13"/>
      <c r="I30" s="13"/>
      <c r="BG30" s="14"/>
    </row>
    <row r="31" spans="1:59" x14ac:dyDescent="0.25">
      <c r="F31" s="13"/>
      <c r="I31" s="13"/>
      <c r="BG31" s="14"/>
    </row>
    <row r="32" spans="1:59" x14ac:dyDescent="0.25">
      <c r="F32" s="13"/>
      <c r="I32" s="13"/>
      <c r="BG32" s="14"/>
    </row>
    <row r="33" spans="6:59" x14ac:dyDescent="0.25">
      <c r="F33" s="13"/>
      <c r="I33" s="13"/>
      <c r="BG33" s="14"/>
    </row>
    <row r="34" spans="6:59" x14ac:dyDescent="0.25">
      <c r="F34" s="13"/>
      <c r="I34" s="13"/>
      <c r="BG34" s="14"/>
    </row>
    <row r="35" spans="6:59" x14ac:dyDescent="0.25">
      <c r="F35" s="13"/>
      <c r="I35" s="13"/>
      <c r="BG35" s="14"/>
    </row>
    <row r="36" spans="6:59" x14ac:dyDescent="0.25">
      <c r="F36" s="13"/>
      <c r="I36" s="13"/>
      <c r="BG36" s="14"/>
    </row>
    <row r="37" spans="6:59" x14ac:dyDescent="0.25">
      <c r="F37" s="13"/>
      <c r="I37" s="13"/>
      <c r="BG37" s="14"/>
    </row>
    <row r="38" spans="6:59" x14ac:dyDescent="0.25">
      <c r="F38" s="13"/>
      <c r="I38" s="13"/>
      <c r="BG38" s="14"/>
    </row>
    <row r="39" spans="6:59" x14ac:dyDescent="0.25">
      <c r="F39" s="13"/>
      <c r="I39" s="13"/>
      <c r="BG39" s="14"/>
    </row>
    <row r="40" spans="6:59" x14ac:dyDescent="0.25">
      <c r="F40" s="13"/>
      <c r="I40" s="13"/>
      <c r="BG40" s="14"/>
    </row>
    <row r="41" spans="6:59" x14ac:dyDescent="0.25">
      <c r="F41" s="13"/>
      <c r="I41" s="13"/>
      <c r="BG41" s="14"/>
    </row>
    <row r="42" spans="6:59" x14ac:dyDescent="0.25">
      <c r="F42" s="13"/>
      <c r="I42" s="13"/>
      <c r="BG42" s="14"/>
    </row>
    <row r="43" spans="6:59" x14ac:dyDescent="0.25">
      <c r="F43" s="13"/>
      <c r="I43" s="13"/>
      <c r="BG43" s="14"/>
    </row>
    <row r="44" spans="6:59" x14ac:dyDescent="0.25">
      <c r="F44" s="13"/>
      <c r="I44" s="13"/>
      <c r="BG44" s="14"/>
    </row>
    <row r="45" spans="6:59" x14ac:dyDescent="0.25">
      <c r="F45" s="13"/>
      <c r="I45" s="13"/>
      <c r="BG45" s="14"/>
    </row>
    <row r="46" spans="6:59" x14ac:dyDescent="0.25">
      <c r="F46" s="13"/>
      <c r="I46" s="13"/>
      <c r="BG46" s="14"/>
    </row>
    <row r="47" spans="6:59" x14ac:dyDescent="0.25">
      <c r="F47" s="13"/>
      <c r="I47" s="13"/>
      <c r="BG47" s="14"/>
    </row>
    <row r="48" spans="6:59" x14ac:dyDescent="0.25">
      <c r="F48" s="13"/>
      <c r="I48" s="13"/>
      <c r="BG48" s="14"/>
    </row>
    <row r="49" spans="6:59" x14ac:dyDescent="0.25">
      <c r="F49" s="13"/>
      <c r="I49" s="13"/>
      <c r="BG49" s="14"/>
    </row>
    <row r="50" spans="6:59" x14ac:dyDescent="0.25">
      <c r="F50" s="13"/>
      <c r="I50" s="13"/>
      <c r="BG50" s="14"/>
    </row>
    <row r="51" spans="6:59" x14ac:dyDescent="0.25">
      <c r="F51" s="13"/>
      <c r="I51" s="13"/>
      <c r="BG51" s="14"/>
    </row>
    <row r="52" spans="6:59" x14ac:dyDescent="0.25">
      <c r="F52" s="13"/>
      <c r="I52" s="13"/>
      <c r="BG52" s="14"/>
    </row>
    <row r="53" spans="6:59" x14ac:dyDescent="0.25">
      <c r="F53" s="13"/>
      <c r="I53" s="13"/>
      <c r="BG53" s="14"/>
    </row>
    <row r="54" spans="6:59" x14ac:dyDescent="0.25">
      <c r="F54" s="13"/>
      <c r="I54" s="13"/>
      <c r="BG54" s="14"/>
    </row>
    <row r="55" spans="6:59" x14ac:dyDescent="0.25">
      <c r="F55" s="13"/>
      <c r="I55" s="13"/>
      <c r="BG55" s="14"/>
    </row>
    <row r="56" spans="6:59" x14ac:dyDescent="0.25">
      <c r="F56" s="13"/>
      <c r="I56" s="13"/>
      <c r="BG56" s="14"/>
    </row>
    <row r="57" spans="6:59" x14ac:dyDescent="0.25">
      <c r="F57" s="13"/>
      <c r="I57" s="13"/>
      <c r="BG57" s="14"/>
    </row>
    <row r="58" spans="6:59" x14ac:dyDescent="0.25">
      <c r="F58" s="13"/>
      <c r="I58" s="13"/>
      <c r="BG58" s="14"/>
    </row>
    <row r="59" spans="6:59" x14ac:dyDescent="0.25">
      <c r="F59" s="13"/>
      <c r="I59" s="13"/>
      <c r="BG59" s="14"/>
    </row>
    <row r="60" spans="6:59" x14ac:dyDescent="0.25">
      <c r="F60" s="13"/>
      <c r="I60" s="13"/>
      <c r="BG60" s="14"/>
    </row>
    <row r="61" spans="6:59" x14ac:dyDescent="0.25">
      <c r="F61" s="13"/>
      <c r="I61" s="13"/>
      <c r="BG61" s="14"/>
    </row>
    <row r="62" spans="6:59" x14ac:dyDescent="0.25">
      <c r="F62" s="13"/>
      <c r="I62" s="13"/>
      <c r="BG62" s="14"/>
    </row>
    <row r="63" spans="6:59" x14ac:dyDescent="0.25">
      <c r="F63" s="13"/>
      <c r="I63" s="13"/>
      <c r="BG63" s="14"/>
    </row>
    <row r="64" spans="6:59" x14ac:dyDescent="0.25">
      <c r="F64" s="13"/>
      <c r="I64" s="13"/>
      <c r="BG64" s="14"/>
    </row>
    <row r="65" spans="6:59" x14ac:dyDescent="0.25">
      <c r="F65" s="13"/>
      <c r="I65" s="13"/>
      <c r="BG65" s="14"/>
    </row>
    <row r="66" spans="6:59" x14ac:dyDescent="0.25">
      <c r="F66" s="13"/>
      <c r="I66" s="13"/>
      <c r="BG66" s="14"/>
    </row>
    <row r="67" spans="6:59" x14ac:dyDescent="0.25">
      <c r="F67" s="13"/>
      <c r="I67" s="13"/>
      <c r="BG67" s="14"/>
    </row>
    <row r="68" spans="6:59" x14ac:dyDescent="0.25">
      <c r="F68" s="13"/>
      <c r="I68" s="13"/>
      <c r="BG68" s="14"/>
    </row>
    <row r="69" spans="6:59" x14ac:dyDescent="0.25">
      <c r="F69" s="13"/>
      <c r="I69" s="13"/>
      <c r="BG69" s="1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3B35-7457-46E8-8004-1237DCBEDE53}">
  <sheetPr codeName="Sheet1">
    <tabColor rgb="FFFFFF00"/>
  </sheetPr>
  <dimension ref="A1:B6"/>
  <sheetViews>
    <sheetView showRowColHeaders="0" workbookViewId="0">
      <selection activeCell="B5" sqref="B5"/>
    </sheetView>
  </sheetViews>
  <sheetFormatPr defaultRowHeight="15" x14ac:dyDescent="0.25"/>
  <cols>
    <col min="1" max="1" width="36.140625" style="11" bestFit="1" customWidth="1"/>
    <col min="2" max="16384" width="9.140625" style="6"/>
  </cols>
  <sheetData>
    <row r="1" spans="1:2" ht="18.75" x14ac:dyDescent="0.3">
      <c r="A1" s="12" t="s">
        <v>17</v>
      </c>
    </row>
    <row r="2" spans="1:2" x14ac:dyDescent="0.25">
      <c r="A2" s="11" t="s">
        <v>7</v>
      </c>
      <c r="B2" s="7">
        <v>2</v>
      </c>
    </row>
    <row r="3" spans="1:2" x14ac:dyDescent="0.25">
      <c r="A3" s="11" t="s">
        <v>8</v>
      </c>
      <c r="B3" s="7">
        <v>2</v>
      </c>
    </row>
    <row r="4" spans="1:2" x14ac:dyDescent="0.25">
      <c r="A4" s="11" t="s">
        <v>2</v>
      </c>
      <c r="B4" s="7">
        <v>2</v>
      </c>
    </row>
    <row r="5" spans="1:2" x14ac:dyDescent="0.25">
      <c r="A5" s="11" t="s">
        <v>6</v>
      </c>
      <c r="B5" s="7">
        <v>5</v>
      </c>
    </row>
    <row r="6" spans="1:2" x14ac:dyDescent="0.25">
      <c r="A6" s="11" t="s">
        <v>16</v>
      </c>
      <c r="B6" s="10">
        <v>1.0000000000000001E-9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E3625-7269-4491-8C95-87B10B3295EB}">
  <sheetPr codeName="Sheet2">
    <tabColor rgb="FF00FF00"/>
  </sheetPr>
  <dimension ref="L19:O20"/>
  <sheetViews>
    <sheetView showGridLines="0" showRowColHeaders="0" workbookViewId="0"/>
  </sheetViews>
  <sheetFormatPr defaultRowHeight="15" x14ac:dyDescent="0.25"/>
  <cols>
    <col min="1" max="16384" width="9.140625" style="8"/>
  </cols>
  <sheetData>
    <row r="19" spans="12:15" x14ac:dyDescent="0.25">
      <c r="L19" s="9"/>
      <c r="M19" s="9"/>
    </row>
    <row r="20" spans="12:15" x14ac:dyDescent="0.25">
      <c r="N20" s="9"/>
      <c r="O20" s="9" t="s">
        <v>15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0A9E2-3436-4291-96E7-6966997245E1}">
  <sheetPr codeName="Sheet3">
    <tabColor rgb="FF0000FF"/>
  </sheetPr>
  <dimension ref="A1:Z782"/>
  <sheetViews>
    <sheetView zoomScaleNormal="100" workbookViewId="0">
      <pane xSplit="8" ySplit="1" topLeftCell="I2" activePane="bottomRight" state="frozen"/>
      <selection pane="topRight" activeCell="G1" sqref="G1"/>
      <selection pane="bottomLeft" activeCell="A2" sqref="A2"/>
      <selection pane="bottomRight" activeCell="E7" sqref="E7"/>
    </sheetView>
  </sheetViews>
  <sheetFormatPr defaultRowHeight="15" x14ac:dyDescent="0.25"/>
  <cols>
    <col min="2" max="2" width="11" bestFit="1" customWidth="1"/>
    <col min="3" max="3" width="9.85546875" customWidth="1"/>
    <col min="7" max="7" width="9.140625" style="5"/>
    <col min="8" max="8" width="77.5703125" style="13" bestFit="1" customWidth="1"/>
    <col min="17" max="17" width="9.140625" customWidth="1"/>
    <col min="22" max="22" width="9.140625" customWidth="1"/>
  </cols>
  <sheetData>
    <row r="1" spans="1:26" s="1" customFormat="1" x14ac:dyDescent="0.25">
      <c r="A1" s="1" t="s">
        <v>4</v>
      </c>
      <c r="B1" s="1" t="s">
        <v>1</v>
      </c>
      <c r="C1" s="1" t="s">
        <v>22</v>
      </c>
      <c r="D1" s="2" t="s">
        <v>21</v>
      </c>
      <c r="E1" s="2" t="s">
        <v>18</v>
      </c>
      <c r="F1" s="2" t="s">
        <v>0</v>
      </c>
      <c r="G1" s="4" t="s">
        <v>5</v>
      </c>
      <c r="H1" s="3" t="s">
        <v>3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14</v>
      </c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>
        <v>1</v>
      </c>
      <c r="B2">
        <v>0</v>
      </c>
      <c r="C2">
        <v>1</v>
      </c>
      <c r="D2">
        <v>1.0000000000000002</v>
      </c>
      <c r="E2">
        <v>584.83333333333326</v>
      </c>
      <c r="F2">
        <v>1.0000000000000001E+29</v>
      </c>
      <c r="H2" s="13" t="s">
        <v>23</v>
      </c>
      <c r="I2">
        <v>415.16666666666674</v>
      </c>
      <c r="L2">
        <v>1</v>
      </c>
    </row>
    <row r="3" spans="1:26" x14ac:dyDescent="0.25">
      <c r="A3">
        <v>1</v>
      </c>
      <c r="B3">
        <v>0.94147998171249436</v>
      </c>
      <c r="C3">
        <v>7.1788372513189508E-2</v>
      </c>
      <c r="D3">
        <v>0.26991481711182669</v>
      </c>
      <c r="E3">
        <v>166.39344262295117</v>
      </c>
      <c r="F3">
        <v>7.1788372513189508E+27</v>
      </c>
      <c r="H3" s="13" t="s">
        <v>24</v>
      </c>
      <c r="J3">
        <v>27.78688524590163</v>
      </c>
      <c r="L3">
        <v>1</v>
      </c>
    </row>
    <row r="4" spans="1:26" x14ac:dyDescent="0.25">
      <c r="A4">
        <v>1</v>
      </c>
      <c r="B4">
        <v>0.99999999999999989</v>
      </c>
      <c r="C4">
        <v>5.6882832173460789E-2</v>
      </c>
      <c r="D4">
        <v>0.24415853584025093</v>
      </c>
      <c r="E4">
        <v>99.820724273933308</v>
      </c>
      <c r="F4">
        <v>5.6882832173460792E+27</v>
      </c>
      <c r="G4" s="5" t="s">
        <v>19</v>
      </c>
      <c r="H4" s="13" t="s">
        <v>25</v>
      </c>
      <c r="K4">
        <v>1.1792757260666904</v>
      </c>
      <c r="L4">
        <v>1</v>
      </c>
    </row>
    <row r="5" spans="1:26" x14ac:dyDescent="0.25">
      <c r="A5">
        <v>1</v>
      </c>
      <c r="B5">
        <v>0</v>
      </c>
      <c r="C5">
        <v>1.4436554172298479</v>
      </c>
      <c r="D5">
        <v>1.239353431461345</v>
      </c>
      <c r="E5">
        <v>498.35760738659178</v>
      </c>
      <c r="F5">
        <v>1.4436554172298481E+29</v>
      </c>
      <c r="H5" s="13" t="s">
        <v>26</v>
      </c>
      <c r="I5">
        <v>1</v>
      </c>
      <c r="L5">
        <v>1.6684530031417285E-3</v>
      </c>
    </row>
    <row r="6" spans="1:26" x14ac:dyDescent="0.25">
      <c r="A6">
        <v>1</v>
      </c>
      <c r="B6">
        <v>0.25447127799972324</v>
      </c>
      <c r="C6">
        <v>210.07927267046543</v>
      </c>
      <c r="D6">
        <v>8.5105151047901195</v>
      </c>
      <c r="E6">
        <v>17599.184660766969</v>
      </c>
      <c r="F6">
        <v>2.1007927267046546E+31</v>
      </c>
      <c r="H6" s="13" t="s">
        <v>27</v>
      </c>
      <c r="I6">
        <v>1</v>
      </c>
      <c r="M6">
        <v>5.6496585723002783E-5</v>
      </c>
    </row>
    <row r="7" spans="1:26" x14ac:dyDescent="0.25">
      <c r="A7">
        <v>1</v>
      </c>
      <c r="B7">
        <v>0.10006901171071472</v>
      </c>
      <c r="C7">
        <v>131332.0503824467</v>
      </c>
      <c r="D7">
        <v>117.62315393183711</v>
      </c>
      <c r="E7">
        <v>527681.84858619643</v>
      </c>
      <c r="F7">
        <v>1.3133205038244671E+34</v>
      </c>
      <c r="H7" s="13" t="s">
        <v>28</v>
      </c>
      <c r="I7">
        <v>1</v>
      </c>
      <c r="N7">
        <v>1.8947186379374776E-6</v>
      </c>
    </row>
    <row r="8" spans="1:26" x14ac:dyDescent="0.25">
      <c r="A8">
        <v>2</v>
      </c>
      <c r="B8">
        <v>0.94147998171249436</v>
      </c>
      <c r="C8">
        <v>5.8520018287505714E-2</v>
      </c>
      <c r="D8">
        <v>0.24182488221299639</v>
      </c>
      <c r="E8">
        <v>135.33333333333343</v>
      </c>
      <c r="F8">
        <v>5.8520018287505718E+27</v>
      </c>
      <c r="H8" s="13" t="s">
        <v>29</v>
      </c>
      <c r="I8">
        <v>-65.333333333333428</v>
      </c>
      <c r="J8">
        <v>31.000000000000007</v>
      </c>
      <c r="L8">
        <v>1</v>
      </c>
    </row>
    <row r="9" spans="1:26" x14ac:dyDescent="0.25">
      <c r="A9">
        <v>2</v>
      </c>
      <c r="B9">
        <v>1</v>
      </c>
      <c r="C9">
        <v>3.2526912680065901E-31</v>
      </c>
      <c r="D9">
        <v>4.8326319388824295E-16</v>
      </c>
      <c r="E9">
        <v>3.4106051316484809E-13</v>
      </c>
      <c r="F9">
        <v>4.4769713571245102</v>
      </c>
      <c r="H9" s="13" t="s">
        <v>30</v>
      </c>
      <c r="I9">
        <v>99.999999999999957</v>
      </c>
      <c r="K9">
        <v>1.0000000000000004</v>
      </c>
      <c r="L9">
        <v>1</v>
      </c>
    </row>
    <row r="10" spans="1:26" x14ac:dyDescent="0.25">
      <c r="A10">
        <v>2</v>
      </c>
      <c r="B10">
        <v>0.76448142460245661</v>
      </c>
      <c r="C10">
        <v>0.65672158186572482</v>
      </c>
      <c r="D10">
        <v>0.47657925176843557</v>
      </c>
      <c r="E10">
        <v>1044.4123378537065</v>
      </c>
      <c r="F10">
        <v>6.5672158186572487E+28</v>
      </c>
      <c r="H10" s="13" t="s">
        <v>31</v>
      </c>
      <c r="I10">
        <v>143.77999602692128</v>
      </c>
      <c r="L10">
        <v>1</v>
      </c>
      <c r="M10">
        <v>-3.0989057452440238E-2</v>
      </c>
    </row>
    <row r="11" spans="1:26" x14ac:dyDescent="0.25">
      <c r="A11">
        <v>2</v>
      </c>
      <c r="B11">
        <v>0.55972422424772783</v>
      </c>
      <c r="C11">
        <v>2.1090232133926983</v>
      </c>
      <c r="D11">
        <v>0.74081659150639256</v>
      </c>
      <c r="E11">
        <v>2025.1592199738511</v>
      </c>
      <c r="F11">
        <v>2.1090232133926984E+29</v>
      </c>
      <c r="H11" s="13" t="s">
        <v>32</v>
      </c>
      <c r="I11">
        <v>200.04754246595985</v>
      </c>
      <c r="L11">
        <v>1</v>
      </c>
      <c r="N11">
        <v>-1.0376356240303613E-3</v>
      </c>
    </row>
    <row r="12" spans="1:26" x14ac:dyDescent="0.25">
      <c r="A12">
        <v>2</v>
      </c>
      <c r="B12">
        <v>0.99097273314152845</v>
      </c>
      <c r="C12">
        <v>1.2677353994023617E-2</v>
      </c>
      <c r="D12">
        <v>9.6237218327362289E-2</v>
      </c>
      <c r="E12">
        <v>87.249283667621796</v>
      </c>
      <c r="F12">
        <v>1.267735399402362E+27</v>
      </c>
      <c r="H12" s="13" t="s">
        <v>33</v>
      </c>
      <c r="J12">
        <v>13.108882521489948</v>
      </c>
      <c r="K12">
        <v>0.64183381088825298</v>
      </c>
      <c r="L12">
        <v>1</v>
      </c>
    </row>
    <row r="13" spans="1:26" x14ac:dyDescent="0.25">
      <c r="A13">
        <v>2</v>
      </c>
      <c r="B13">
        <v>0.99370744597490535</v>
      </c>
      <c r="C13">
        <v>8.66910247504106E-3</v>
      </c>
      <c r="D13">
        <v>6.7549985346863753E-2</v>
      </c>
      <c r="E13">
        <v>83.592732065524388</v>
      </c>
      <c r="F13">
        <v>8.6691024750410609E+26</v>
      </c>
      <c r="H13" s="13" t="s">
        <v>34</v>
      </c>
      <c r="J13">
        <v>17.12512735018986</v>
      </c>
      <c r="L13">
        <v>1</v>
      </c>
      <c r="M13">
        <v>-1.6208205983143455E-2</v>
      </c>
    </row>
    <row r="14" spans="1:26" x14ac:dyDescent="0.25">
      <c r="A14">
        <v>2</v>
      </c>
      <c r="B14">
        <v>0.99345314212109581</v>
      </c>
      <c r="C14">
        <v>8.1029724549526016E-3</v>
      </c>
      <c r="D14">
        <v>7.4168631692052789E-2</v>
      </c>
      <c r="E14">
        <v>80.648305516566381</v>
      </c>
      <c r="F14">
        <v>8.1029724549526018E+26</v>
      </c>
      <c r="H14" s="13" t="s">
        <v>35</v>
      </c>
      <c r="J14">
        <v>20.342488836692183</v>
      </c>
      <c r="L14">
        <v>1</v>
      </c>
      <c r="N14">
        <v>-4.5232826922238608E-4</v>
      </c>
    </row>
    <row r="15" spans="1:26" x14ac:dyDescent="0.25">
      <c r="A15">
        <v>2</v>
      </c>
      <c r="B15">
        <v>0.99265609521656073</v>
      </c>
      <c r="C15">
        <v>2.830451297997633E-2</v>
      </c>
      <c r="D15">
        <v>0.14218463276293491</v>
      </c>
      <c r="E15">
        <v>99.061576517139812</v>
      </c>
      <c r="F15">
        <v>2.8304512979976332E+27</v>
      </c>
      <c r="H15" s="13" t="s">
        <v>36</v>
      </c>
      <c r="K15">
        <v>1.9918049363632084</v>
      </c>
      <c r="L15">
        <v>1</v>
      </c>
      <c r="M15">
        <v>2.7538592044014078E-2</v>
      </c>
    </row>
    <row r="16" spans="1:26" x14ac:dyDescent="0.25">
      <c r="A16">
        <v>2</v>
      </c>
      <c r="B16">
        <v>0.99101971543126466</v>
      </c>
      <c r="C16">
        <v>3.3221449468013871E-2</v>
      </c>
      <c r="D16">
        <v>0.16359346905706598</v>
      </c>
      <c r="E16">
        <v>99.449236204925697</v>
      </c>
      <c r="F16">
        <v>3.3221449468013875E+27</v>
      </c>
      <c r="H16" s="13" t="s">
        <v>37</v>
      </c>
      <c r="K16">
        <v>1.5515195622932814</v>
      </c>
      <c r="L16">
        <v>1</v>
      </c>
      <c r="N16">
        <v>4.8735160143736217E-4</v>
      </c>
    </row>
    <row r="17" spans="1:14" x14ac:dyDescent="0.25">
      <c r="A17">
        <v>2</v>
      </c>
      <c r="B17">
        <v>0.94147998171249447</v>
      </c>
      <c r="C17">
        <v>0.31662230302610189</v>
      </c>
      <c r="D17">
        <v>0.44622448503588558</v>
      </c>
      <c r="E17">
        <v>409.31428571428552</v>
      </c>
      <c r="F17">
        <v>3.1662230302610192E+28</v>
      </c>
      <c r="H17" s="13" t="s">
        <v>38</v>
      </c>
      <c r="I17">
        <v>1</v>
      </c>
      <c r="J17">
        <v>-0.12778855480116394</v>
      </c>
      <c r="L17">
        <v>-2.828968638861948E-3</v>
      </c>
    </row>
    <row r="18" spans="1:14" x14ac:dyDescent="0.25">
      <c r="A18">
        <v>2</v>
      </c>
      <c r="B18">
        <v>0.25447127799972324</v>
      </c>
      <c r="C18">
        <v>80.418396342471951</v>
      </c>
      <c r="D18">
        <v>3.9545255916953024</v>
      </c>
      <c r="E18">
        <v>11762.400000000001</v>
      </c>
      <c r="F18">
        <v>8.0418396342471953E+30</v>
      </c>
      <c r="H18" s="13" t="s">
        <v>39</v>
      </c>
      <c r="I18">
        <v>1</v>
      </c>
      <c r="J18">
        <v>-9.995060356271801E-2</v>
      </c>
      <c r="M18">
        <v>-7.7181933253064121E-5</v>
      </c>
    </row>
    <row r="19" spans="1:14" x14ac:dyDescent="0.25">
      <c r="A19">
        <v>2</v>
      </c>
      <c r="B19">
        <v>8.8408048855837529E-2</v>
      </c>
      <c r="C19">
        <v>99050.576765666294</v>
      </c>
      <c r="D19">
        <v>93.057856500230088</v>
      </c>
      <c r="E19">
        <v>462236.99654548441</v>
      </c>
      <c r="F19">
        <v>9.9050576765666294E+33</v>
      </c>
      <c r="H19" s="13" t="s">
        <v>40</v>
      </c>
      <c r="I19">
        <v>1</v>
      </c>
      <c r="J19">
        <v>-8.1877238242379857E-2</v>
      </c>
      <c r="N19">
        <v>-1.9866938923188959E-6</v>
      </c>
    </row>
    <row r="20" spans="1:14" x14ac:dyDescent="0.25">
      <c r="A20">
        <v>2</v>
      </c>
      <c r="B20">
        <v>1</v>
      </c>
      <c r="C20">
        <v>1.3970286988704895E-31</v>
      </c>
      <c r="D20">
        <v>3.7984884787100578E-16</v>
      </c>
      <c r="E20">
        <v>1.4210854715202004E-13</v>
      </c>
      <c r="F20">
        <v>4.458414731433149</v>
      </c>
      <c r="G20" s="5" t="s">
        <v>20</v>
      </c>
      <c r="H20" s="13" t="s">
        <v>41</v>
      </c>
      <c r="I20">
        <v>1</v>
      </c>
      <c r="K20">
        <v>9.9999999999999846E-3</v>
      </c>
      <c r="L20">
        <v>9.9999999999999863E-3</v>
      </c>
    </row>
    <row r="21" spans="1:14" x14ac:dyDescent="0.25">
      <c r="A21">
        <v>2</v>
      </c>
      <c r="B21">
        <v>0.49698530029064625</v>
      </c>
      <c r="C21">
        <v>8.9335462811030801</v>
      </c>
      <c r="D21">
        <v>1.5210583669819244</v>
      </c>
      <c r="E21">
        <v>3696.2526151444195</v>
      </c>
      <c r="F21">
        <v>8.9335462811030807E+29</v>
      </c>
      <c r="H21" s="13" t="s">
        <v>42</v>
      </c>
      <c r="I21">
        <v>1</v>
      </c>
      <c r="K21">
        <v>-9.9180493636320793E-3</v>
      </c>
      <c r="M21">
        <v>-2.7538592044014045E-4</v>
      </c>
    </row>
    <row r="22" spans="1:14" x14ac:dyDescent="0.25">
      <c r="A22">
        <v>2</v>
      </c>
      <c r="B22">
        <v>0.10006901171071469</v>
      </c>
      <c r="C22">
        <v>19579.043378093702</v>
      </c>
      <c r="D22">
        <v>43.549350924428133</v>
      </c>
      <c r="E22">
        <v>204160.00000000003</v>
      </c>
      <c r="F22">
        <v>1.9579043378093703E+33</v>
      </c>
      <c r="H22" s="13" t="s">
        <v>43</v>
      </c>
      <c r="I22">
        <v>1</v>
      </c>
      <c r="K22">
        <v>-5.5151956229328178E-3</v>
      </c>
      <c r="N22">
        <v>-4.8735160143736227E-6</v>
      </c>
    </row>
    <row r="23" spans="1:14" x14ac:dyDescent="0.25">
      <c r="A23">
        <v>2</v>
      </c>
      <c r="B23">
        <v>0.84212126621199934</v>
      </c>
      <c r="C23">
        <v>0.262181231071003</v>
      </c>
      <c r="D23">
        <v>0.36641350124635758</v>
      </c>
      <c r="E23">
        <v>615.23352921609921</v>
      </c>
      <c r="F23">
        <v>2.6218123107100302E+28</v>
      </c>
      <c r="H23" s="13" t="s">
        <v>44</v>
      </c>
      <c r="I23">
        <v>1</v>
      </c>
      <c r="L23">
        <v>6.205391496435118E-3</v>
      </c>
      <c r="M23">
        <v>-1.8620953242456858E-4</v>
      </c>
    </row>
    <row r="24" spans="1:14" x14ac:dyDescent="0.25">
      <c r="A24">
        <v>2</v>
      </c>
      <c r="B24">
        <v>0.73786585601202415</v>
      </c>
      <c r="C24">
        <v>0.42300635497153949</v>
      </c>
      <c r="D24">
        <v>0.49844463155426877</v>
      </c>
      <c r="E24">
        <v>777.15337921909577</v>
      </c>
      <c r="F24">
        <v>4.2300635497153952E+28</v>
      </c>
      <c r="H24" s="13" t="s">
        <v>45</v>
      </c>
      <c r="I24">
        <v>1</v>
      </c>
      <c r="L24">
        <v>4.1546865595568317E-3</v>
      </c>
      <c r="N24">
        <v>-3.9910988072631962E-6</v>
      </c>
    </row>
    <row r="25" spans="1:14" x14ac:dyDescent="0.25">
      <c r="A25">
        <v>2</v>
      </c>
      <c r="B25">
        <v>1.8133571402585466E-3</v>
      </c>
      <c r="C25">
        <v>6.3482770807219548</v>
      </c>
      <c r="D25">
        <v>1.6122275334990244</v>
      </c>
      <c r="E25">
        <v>2945.2169576856427</v>
      </c>
      <c r="F25">
        <v>6.3482770807219546E+29</v>
      </c>
      <c r="H25" s="13" t="s">
        <v>46</v>
      </c>
      <c r="I25">
        <v>1</v>
      </c>
      <c r="M25">
        <v>3.3901557180499432E-4</v>
      </c>
      <c r="N25">
        <v>-1.0739544886757988E-5</v>
      </c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</sheetData>
  <sortState xmlns:xlrd2="http://schemas.microsoft.com/office/spreadsheetml/2017/richdata2" ref="A2:Z130561">
    <sortCondition ref="C2:C130561"/>
  </sortState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C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A111-A0A4-4D25-9268-B73C525ED965}">
  <sheetPr codeName="Sheet5"/>
  <dimension ref="A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C560-69DD-40F8-AFCF-A21F8C771619}">
  <sheetPr codeName="Sheet6"/>
  <dimension ref="A1"/>
  <sheetViews>
    <sheetView zoomScale="60" zoomScaleNormal="6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XFD1048576"/>
    </sheetView>
  </sheetViews>
  <sheetFormatPr defaultColWidth="9.7109375" defaultRowHeight="15" x14ac:dyDescent="0.25"/>
  <cols>
    <col min="1" max="1" width="9.7109375" customWidth="1"/>
    <col min="3" max="11" width="9.7109375" customWidth="1"/>
    <col min="13" max="21" width="9.7109375" customWidth="1"/>
    <col min="22" max="22" width="14.85546875" bestFit="1" customWidth="1"/>
    <col min="23" max="31" width="9.7109375" customWidth="1"/>
    <col min="33" max="41" width="9.710937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D32517142E2964C99C02EFDAC2FF07A" ma:contentTypeVersion="12" ma:contentTypeDescription="Opprett et nytt dokument." ma:contentTypeScope="" ma:versionID="8a76e791e61d3e6ca91f49d4a7d39699">
  <xsd:schema xmlns:xsd="http://www.w3.org/2001/XMLSchema" xmlns:xs="http://www.w3.org/2001/XMLSchema" xmlns:p="http://schemas.microsoft.com/office/2006/metadata/properties" xmlns:ns1="http://schemas.microsoft.com/sharepoint/v3" xmlns:ns3="aa087bb6-d861-4a88-8615-b220fcd2cbf3" targetNamespace="http://schemas.microsoft.com/office/2006/metadata/properties" ma:root="true" ma:fieldsID="ad1fa43610db24ed4f4e8f1ce98b7ea6" ns1:_="" ns3:_="">
    <xsd:import namespace="http://schemas.microsoft.com/sharepoint/v3"/>
    <xsd:import namespace="aa087bb6-d861-4a88-8615-b220fcd2cbf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Egenskaper for samordnet samsvarspolicy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I-handling for samordnet samsvarspolicy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087bb6-d861-4a88-8615-b220fcd2cb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A80317-C4A9-40DE-94E4-76DCAF29FB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a087bb6-d861-4a88-8615-b220fcd2cb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BC35CA-7F80-4595-8BD0-85821BABA203}">
  <ds:schemaRefs>
    <ds:schemaRef ds:uri="http://schemas.microsoft.com/office/2006/metadata/properties"/>
    <ds:schemaRef ds:uri="http://schemas.microsoft.com/sharepoint/v3"/>
    <ds:schemaRef ds:uri="http://purl.org/dc/elements/1.1/"/>
    <ds:schemaRef ds:uri="http://schemas.microsoft.com/office/2006/documentManagement/types"/>
    <ds:schemaRef ds:uri="http://purl.org/dc/dcmitype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a087bb6-d861-4a88-8615-b220fcd2cbf3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49A38A6-9E8C-46D6-A334-F5F29AE7489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1.Data</vt:lpstr>
      <vt:lpstr>2.Options</vt:lpstr>
      <vt:lpstr>3.Analyze</vt:lpstr>
      <vt:lpstr>4.Results</vt:lpstr>
      <vt:lpstr>AutoIn</vt:lpstr>
      <vt:lpstr>AutoOut</vt:lpstr>
    </vt:vector>
  </TitlesOfParts>
  <Company>OsloMet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Schild</cp:lastModifiedBy>
  <dcterms:created xsi:type="dcterms:W3CDTF">2020-04-13T15:12:18Z</dcterms:created>
  <dcterms:modified xsi:type="dcterms:W3CDTF">2020-04-26T14:16:52Z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0x0101006D32517142E2964C99C02EFDAC2FF07A</vt:lpwstr>
  </property>
</Properties>
</file>