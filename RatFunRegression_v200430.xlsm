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ioa365-my.sharepoint.com/personal/petsch_oslomet_no/Documents/Dokumenter/_Data/VBA_tools/"/>
    </mc:Choice>
  </mc:AlternateContent>
  <xr:revisionPtr revIDLastSave="0" documentId="14_{BA320AAF-3A8C-4FD2-9A5B-375201A1EDFF}" xr6:coauthVersionLast="45" xr6:coauthVersionMax="45" xr10:uidLastSave="{00000000-0000-0000-0000-000000000000}"/>
  <bookViews>
    <workbookView xWindow="-120" yWindow="-120" windowWidth="29040" windowHeight="15840" activeTab="3" xr2:uid="{8E9B90C8-C062-477F-B6BC-DE52DCB6E75F}"/>
  </bookViews>
  <sheets>
    <sheet name="1.Data" sheetId="4" r:id="rId1"/>
    <sheet name="2.Options" sheetId="1" r:id="rId2"/>
    <sheet name="3.Analyze" sheetId="2" r:id="rId3"/>
    <sheet name="4.Results" sheetId="3" r:id="rId4"/>
    <sheet name="AutoIn" sheetId="5" state="hidden" r:id="rId5"/>
    <sheet name="AutoOut" sheetId="6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Schild</author>
  </authors>
  <commentList>
    <comment ref="B2" authorId="0" shapeId="0" xr:uid="{8ADD1032-5D56-41E2-AC7C-2FA6879AFE3F}">
      <text>
        <r>
          <rPr>
            <b/>
            <sz val="9"/>
            <color indexed="81"/>
            <rFont val="Tahoma"/>
            <family val="2"/>
          </rPr>
          <t xml:space="preserve">Largest exponent </t>
        </r>
        <r>
          <rPr>
            <b/>
            <i/>
            <sz val="9"/>
            <color indexed="10"/>
            <rFont val="Tahoma"/>
            <family val="2"/>
          </rPr>
          <t>n</t>
        </r>
        <r>
          <rPr>
            <b/>
            <sz val="9"/>
            <color indexed="81"/>
            <rFont val="Tahoma"/>
            <family val="2"/>
          </rPr>
          <t xml:space="preserve"> in the </t>
        </r>
        <r>
          <rPr>
            <b/>
            <u/>
            <sz val="9"/>
            <color indexed="81"/>
            <rFont val="Tahoma"/>
            <family val="2"/>
          </rPr>
          <t>numerator</t>
        </r>
        <r>
          <rPr>
            <b/>
            <sz val="9"/>
            <color indexed="81"/>
            <rFont val="Tahoma"/>
            <family val="2"/>
          </rPr>
          <t xml:space="preserve"> of the solved rational function:
</t>
        </r>
        <r>
          <rPr>
            <sz val="9"/>
            <color indexed="12"/>
            <rFont val="Tahoma"/>
            <family val="2"/>
          </rPr>
          <t>y = (a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 xml:space="preserve"> + a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·x + a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·x^2 +...+  a</t>
        </r>
        <r>
          <rPr>
            <i/>
            <vertAlign val="subscript"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0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) / (b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 xml:space="preserve"> + b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·x + b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·x^2 +...+  b</t>
        </r>
        <r>
          <rPr>
            <i/>
            <vertAlign val="subscript"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)</t>
        </r>
      </text>
    </comment>
    <comment ref="B3" authorId="0" shapeId="0" xr:uid="{480A7971-E001-493C-9620-DE34A0A67B61}">
      <text>
        <r>
          <rPr>
            <b/>
            <sz val="9"/>
            <color indexed="81"/>
            <rFont val="Tahoma"/>
            <family val="2"/>
          </rPr>
          <t xml:space="preserve">Largest exponent </t>
        </r>
        <r>
          <rPr>
            <b/>
            <i/>
            <sz val="9"/>
            <color indexed="10"/>
            <rFont val="Tahoma"/>
            <family val="2"/>
          </rPr>
          <t>m</t>
        </r>
        <r>
          <rPr>
            <b/>
            <sz val="9"/>
            <color indexed="81"/>
            <rFont val="Tahoma"/>
            <family val="2"/>
          </rPr>
          <t xml:space="preserve"> in the </t>
        </r>
        <r>
          <rPr>
            <b/>
            <u/>
            <sz val="9"/>
            <color indexed="81"/>
            <rFont val="Tahoma"/>
            <family val="2"/>
          </rPr>
          <t>denominator</t>
        </r>
        <r>
          <rPr>
            <b/>
            <sz val="9"/>
            <color indexed="81"/>
            <rFont val="Tahoma"/>
            <family val="2"/>
          </rPr>
          <t xml:space="preserve"> of the solved rational function:
</t>
        </r>
        <r>
          <rPr>
            <sz val="9"/>
            <color indexed="12"/>
            <rFont val="Tahoma"/>
            <family val="2"/>
          </rPr>
          <t>y = (a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 xml:space="preserve"> + a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·x + a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·x^2 +...+  a</t>
        </r>
        <r>
          <rPr>
            <i/>
            <vertAlign val="subscript"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) / (b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 xml:space="preserve"> + b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·x + b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·x^2 +...+  b</t>
        </r>
        <r>
          <rPr>
            <i/>
            <vertAlign val="subscript"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0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)</t>
        </r>
      </text>
    </comment>
    <comment ref="B4" authorId="0" shapeId="0" xr:uid="{8394632C-121B-41E9-8E84-6CFE582979F6}">
      <text>
        <r>
          <rPr>
            <b/>
            <sz val="9"/>
            <color indexed="81"/>
            <rFont val="Tahoma"/>
            <family val="2"/>
          </rPr>
          <t xml:space="preserve">Maximum number of coefficients </t>
        </r>
        <r>
          <rPr>
            <sz val="9"/>
            <color indexed="81"/>
            <rFont val="Tahoma"/>
            <family val="2"/>
          </rPr>
          <t>(a &amp; b)</t>
        </r>
        <r>
          <rPr>
            <b/>
            <sz val="9"/>
            <color indexed="81"/>
            <rFont val="Tahoma"/>
            <family val="2"/>
          </rPr>
          <t xml:space="preserve"> in the solved rational function:
  </t>
        </r>
        <r>
          <rPr>
            <sz val="9"/>
            <color indexed="12"/>
            <rFont val="Tahoma"/>
            <family val="2"/>
          </rPr>
          <t>y = (a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 xml:space="preserve"> + a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·x + a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·x^2 +...+  a</t>
        </r>
        <r>
          <rPr>
            <i/>
            <vertAlign val="subscript"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) / (b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 xml:space="preserve"> + b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·x + b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·x^2 +...+  b</t>
        </r>
        <r>
          <rPr>
            <i/>
            <vertAlign val="subscript"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 xml:space="preserve">)
</t>
        </r>
        <r>
          <rPr>
            <sz val="9"/>
            <color indexed="81"/>
            <rFont val="Tahoma"/>
            <family val="2"/>
          </rPr>
          <t xml:space="preserve">● This number limits the maximum complexity of the solved equation.
● This number can be any value between </t>
        </r>
        <r>
          <rPr>
            <sz val="9"/>
            <color indexed="12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+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+1</t>
        </r>
        <r>
          <rPr>
            <sz val="9"/>
            <color indexed="81"/>
            <rFont val="Tahoma"/>
            <family val="2"/>
          </rPr>
          <t xml:space="preserve">.
● </t>
        </r>
        <r>
          <rPr>
            <i/>
            <sz val="9"/>
            <color indexed="81"/>
            <rFont val="Tahoma"/>
            <family val="2"/>
          </rPr>
          <t>Note</t>
        </r>
        <r>
          <rPr>
            <sz val="9"/>
            <color indexed="81"/>
            <rFont val="Tahoma"/>
            <family val="2"/>
          </rPr>
          <t xml:space="preserve">: Either coefficient a0 or b0 is set to 1, and is not counted here as a "coefficient":
   For Padé approximation: b0=1, and a0 can have any value (also zero).
   For reciprocal Padé approximation: a0=1, and b0 can have any value (also zero).
● </t>
        </r>
        <r>
          <rPr>
            <i/>
            <sz val="9"/>
            <color indexed="81"/>
            <rFont val="Tahoma"/>
            <family val="2"/>
          </rPr>
          <t>Note</t>
        </r>
        <r>
          <rPr>
            <sz val="9"/>
            <color indexed="81"/>
            <rFont val="Tahoma"/>
            <family val="2"/>
          </rPr>
          <t>: reciprocal Padé approximation is only attempted of all x and y values are non-zero.</t>
        </r>
      </text>
    </comment>
    <comment ref="B5" authorId="0" shapeId="0" xr:uid="{D96CEDF8-12D2-4E09-B905-D86D3DF17499}">
      <text>
        <r>
          <rPr>
            <b/>
            <sz val="9"/>
            <color indexed="81"/>
            <rFont val="Tahoma"/>
            <family val="2"/>
          </rPr>
          <t xml:space="preserve">The program tests all the solved rational functions for singularities. </t>
        </r>
        <r>
          <rPr>
            <b/>
            <sz val="9"/>
            <color indexed="12"/>
            <rFont val="Tahoma"/>
            <family val="2"/>
          </rPr>
          <t>Recommented test resolution value is 2+</t>
        </r>
        <r>
          <rPr>
            <b/>
            <sz val="9"/>
            <color indexed="81"/>
            <rFont val="Tahoma"/>
            <family val="2"/>
          </rPr>
          <t xml:space="preserve">
● </t>
        </r>
        <r>
          <rPr>
            <sz val="9"/>
            <color indexed="81"/>
            <rFont val="Tahoma"/>
            <family val="2"/>
          </rPr>
          <t xml:space="preserve">A singularity is a "divide-by-zero" error that occurs if the denominator polynomial value becomes zero for specific values of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 (the roots of the polynomial).
● Singularities can be discovered by seeing a change in sign (+/-) of the value of the denominator between to neighbouring values of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.
● This is a brute-force test, i.e. the denominator is calculated for multiple values of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 covering the whole range in column A of sheet </t>
        </r>
        <r>
          <rPr>
            <b/>
            <sz val="9"/>
            <color indexed="81"/>
            <rFont val="Tahoma"/>
            <family val="2"/>
          </rPr>
          <t>1.Data</t>
        </r>
        <r>
          <rPr>
            <sz val="9"/>
            <color indexed="81"/>
            <rFont val="Tahoma"/>
            <family val="2"/>
          </rPr>
          <t xml:space="preserve">.
● A test resolution of 10 means that 10 equi-distant values of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 are tested between each pair of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-values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(i) and </t>
        </r>
        <r>
          <rPr>
            <i/>
            <sz val="9"/>
            <color indexed="81"/>
            <rFont val="Tahoma"/>
            <family val="2"/>
          </rPr>
          <t>x</t>
        </r>
        <r>
          <rPr>
            <sz val="9"/>
            <color indexed="81"/>
            <rFont val="Tahoma"/>
            <family val="2"/>
          </rPr>
          <t xml:space="preserve">(i+1) in column A of sheet </t>
        </r>
        <r>
          <rPr>
            <b/>
            <sz val="9"/>
            <color indexed="81"/>
            <rFont val="Tahoma"/>
            <family val="2"/>
          </rPr>
          <t>1.Data</t>
        </r>
        <r>
          <rPr>
            <sz val="9"/>
            <color indexed="81"/>
            <rFont val="Tahoma"/>
            <family val="2"/>
          </rPr>
          <t xml:space="preserve">.
● If a singuarity is discovered, then the program reports it in the "Equation" column of sheet </t>
        </r>
        <r>
          <rPr>
            <b/>
            <sz val="9"/>
            <color indexed="81"/>
            <rFont val="Tahoma"/>
            <family val="2"/>
          </rPr>
          <t>4.Results</t>
        </r>
        <r>
          <rPr>
            <sz val="9"/>
            <color indexed="81"/>
            <rFont val="Tahoma"/>
            <family val="2"/>
          </rPr>
          <t>.</t>
        </r>
      </text>
    </comment>
    <comment ref="B6" authorId="0" shapeId="0" xr:uid="{10F24EA9-96FD-4881-8305-CFB9DB79BB83}">
      <text>
        <r>
          <rPr>
            <b/>
            <sz val="9"/>
            <color indexed="81"/>
            <rFont val="Tahoma"/>
            <family val="2"/>
          </rPr>
          <t xml:space="preserve">Solution tolerance of polynomial coefficients:
</t>
        </r>
        <r>
          <rPr>
            <sz val="9"/>
            <color indexed="81"/>
            <rFont val="Tahoma"/>
            <family val="2"/>
          </rPr>
          <t xml:space="preserve">● If the y-values are affected by measurement uncertainty/noise, then outliers are ignored by increase the tolerance, e.g. </t>
        </r>
        <r>
          <rPr>
            <b/>
            <sz val="9"/>
            <color indexed="12"/>
            <rFont val="Tahoma"/>
            <family val="2"/>
          </rPr>
          <t>1E-5 or larger</t>
        </r>
        <r>
          <rPr>
            <sz val="9"/>
            <color indexed="81"/>
            <rFont val="Tahoma"/>
            <family val="2"/>
          </rPr>
          <t xml:space="preserve">
● If the y-values are true values (not affected by uncertainty), then use a tiny value of tolerance, e.g. </t>
        </r>
        <r>
          <rPr>
            <b/>
            <sz val="9"/>
            <color indexed="12"/>
            <rFont val="Tahoma"/>
            <family val="2"/>
          </rPr>
          <t>1E-9 or smaller</t>
        </r>
      </text>
    </comment>
    <comment ref="B7" authorId="0" shapeId="0" xr:uid="{FF8278CE-7B70-458A-8077-11253C451824}">
      <text>
        <r>
          <rPr>
            <b/>
            <sz val="9"/>
            <color indexed="81"/>
            <rFont val="Tahoma"/>
            <family val="2"/>
          </rPr>
          <t xml:space="preserve">Choose whether you wish the equations to have nested form.
</t>
        </r>
        <r>
          <rPr>
            <sz val="9"/>
            <color indexed="81"/>
            <rFont val="Tahoma"/>
            <family val="2"/>
          </rPr>
          <t xml:space="preserve">● </t>
        </r>
        <r>
          <rPr>
            <b/>
            <sz val="9"/>
            <color indexed="12"/>
            <rFont val="Tahoma"/>
            <family val="2"/>
          </rPr>
          <t>TRUE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i/>
            <sz val="9"/>
            <color indexed="81"/>
            <rFont val="Tahoma"/>
            <family val="2"/>
          </rPr>
          <t>Nested form: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12"/>
            <rFont val="Tahoma"/>
            <family val="2"/>
          </rPr>
          <t>y = (a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>+x*(a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+x*(a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+x*(a</t>
        </r>
        <r>
          <rPr>
            <vertAlign val="subscript"/>
            <sz val="9"/>
            <color indexed="12"/>
            <rFont val="Tahoma"/>
            <family val="2"/>
          </rPr>
          <t>3</t>
        </r>
        <r>
          <rPr>
            <sz val="9"/>
            <color indexed="12"/>
            <rFont val="Tahoma"/>
            <family val="2"/>
          </rPr>
          <t>+ … a</t>
        </r>
        <r>
          <rPr>
            <vertAlign val="subscript"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*x)))) / (b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>+x*(b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+x*(b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+x*(b</t>
        </r>
        <r>
          <rPr>
            <vertAlign val="subscript"/>
            <sz val="9"/>
            <color indexed="12"/>
            <rFont val="Tahoma"/>
            <family val="2"/>
          </rPr>
          <t>3</t>
        </r>
        <r>
          <rPr>
            <sz val="9"/>
            <color indexed="12"/>
            <rFont val="Tahoma"/>
            <family val="2"/>
          </rPr>
          <t>+ … b</t>
        </r>
        <r>
          <rPr>
            <vertAlign val="subscript"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*x))))</t>
        </r>
        <r>
          <rPr>
            <sz val="9"/>
            <color indexed="81"/>
            <rFont val="Tahoma"/>
            <family val="2"/>
          </rPr>
          <t xml:space="preserve">
   This is called Horner's method. It enables fastest calcultion of the rational function.
   Powers of x are calculated by multiplication instead of exponentiation (i.e. x*x*x instead of x^3) for fastest calculation.
   The only issue is that Excel Visual Basic macros are limited to 4 nested brackets in each of the numerator or denominator.
   However, there is no equivalent limit for Excel formulas in worksheet cells.
● </t>
        </r>
        <r>
          <rPr>
            <b/>
            <sz val="9"/>
            <color indexed="12"/>
            <rFont val="Tahoma"/>
            <family val="2"/>
          </rPr>
          <t>FALSE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i/>
            <sz val="9"/>
            <color indexed="81"/>
            <rFont val="Tahoma"/>
            <family val="2"/>
          </rPr>
          <t>Normal expanded form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12"/>
            <rFont val="Tahoma"/>
            <family val="2"/>
          </rPr>
          <t>y = (a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>+a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*x+a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*x^2+a</t>
        </r>
        <r>
          <rPr>
            <vertAlign val="subscript"/>
            <sz val="9"/>
            <color indexed="12"/>
            <rFont val="Tahoma"/>
            <family val="2"/>
          </rPr>
          <t>3</t>
        </r>
        <r>
          <rPr>
            <sz val="9"/>
            <color indexed="12"/>
            <rFont val="Tahoma"/>
            <family val="2"/>
          </rPr>
          <t>*x^3 … a</t>
        </r>
        <r>
          <rPr>
            <vertAlign val="subscript"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*x^n) / (b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>+b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*x+b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*x^2+b</t>
        </r>
        <r>
          <rPr>
            <vertAlign val="subscript"/>
            <sz val="9"/>
            <color indexed="12"/>
            <rFont val="Tahoma"/>
            <family val="2"/>
          </rPr>
          <t>3</t>
        </r>
        <r>
          <rPr>
            <sz val="9"/>
            <color indexed="12"/>
            <rFont val="Tahoma"/>
            <family val="2"/>
          </rPr>
          <t>*x^3 … b</t>
        </r>
        <r>
          <rPr>
            <vertAlign val="subscript"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*x^m)</t>
        </r>
        <r>
          <rPr>
            <sz val="9"/>
            <color indexed="81"/>
            <rFont val="Tahoma"/>
            <family val="2"/>
          </rPr>
          <t xml:space="preserve">
   This is the conventional form of expressing polynomials, and avoids the limitation of nested brackers in Excel macro code.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Schild</author>
  </authors>
  <commentList>
    <comment ref="A1" authorId="0" shapeId="0" xr:uid="{9EB0D9FD-0C88-46D9-B546-06C20ED7579F}">
      <text>
        <r>
          <rPr>
            <b/>
            <sz val="9"/>
            <color indexed="81"/>
            <rFont val="Tahoma"/>
            <family val="2"/>
          </rPr>
          <t>Number of coefficients in the rational function</t>
        </r>
      </text>
    </comment>
    <comment ref="B1" authorId="0" shapeId="0" xr:uid="{77EF5FE2-2977-4362-8583-BD9BD3215399}">
      <text>
        <r>
          <rPr>
            <b/>
            <sz val="9"/>
            <color indexed="81"/>
            <rFont val="Tahoma"/>
            <family val="2"/>
          </rPr>
          <t>Pearson's Correlation Coefficient squared (R²)
●</t>
        </r>
        <r>
          <rPr>
            <sz val="9"/>
            <color indexed="81"/>
            <rFont val="Tahoma"/>
            <family val="2"/>
          </rPr>
          <t xml:space="preserve"> Value of 1 indicates perfect fit. Value of zero indicates zero correlation.
● Is sometimes misleading for nonlinear regression, as it does not detect bias.
● Calculated with the formula:
</t>
        </r>
        <r>
          <rPr>
            <sz val="9"/>
            <color indexed="12"/>
            <rFont val="Tahoma"/>
            <family val="2"/>
          </rPr>
          <t xml:space="preserve">    R = Sxy / (√Sxx √Syy)</t>
        </r>
        <r>
          <rPr>
            <sz val="9"/>
            <color indexed="81"/>
            <rFont val="Tahoma"/>
            <family val="2"/>
          </rPr>
          <t xml:space="preserve">
  where:
</t>
        </r>
        <r>
          <rPr>
            <sz val="9"/>
            <color indexed="12"/>
            <rFont val="Tahoma"/>
            <family val="2"/>
          </rPr>
          <t xml:space="preserve">    Sxy = SUM[(Ytrue,i - Ytrue,mean)·(Ycalc,i - Ycalc,mean)]
    Sxx = SUM[(Ytrue,i - Ytrue,mean)²]
    Syy = SUM[(Ycalc,i - Ycalc,mean)²]</t>
        </r>
      </text>
    </comment>
    <comment ref="C1" authorId="0" shapeId="0" xr:uid="{168ADCD9-63D1-430C-94A3-38D1A9C743E2}">
      <text>
        <r>
          <rPr>
            <b/>
            <sz val="9"/>
            <color indexed="81"/>
            <rFont val="Tahoma"/>
            <family val="2"/>
          </rPr>
          <t>Normalized Mean Squared Error (nMSE)</t>
        </r>
        <r>
          <rPr>
            <sz val="9"/>
            <color indexed="81"/>
            <rFont val="Tahoma"/>
            <family val="2"/>
          </rPr>
          <t xml:space="preserve"> or </t>
        </r>
        <r>
          <rPr>
            <b/>
            <sz val="9"/>
            <color indexed="81"/>
            <rFont val="Tahoma"/>
            <family val="2"/>
          </rPr>
          <t>Reduced Chi-squared statistic (X²)</t>
        </r>
        <r>
          <rPr>
            <sz val="9"/>
            <color indexed="81"/>
            <rFont val="Tahoma"/>
            <family val="2"/>
          </rPr>
          <t xml:space="preserve"> if weights are input 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Normalized Mean Squared Error (nMSE), a.k.a. Normalized Mean Squared Deviation:</t>
        </r>
        <r>
          <rPr>
            <sz val="9"/>
            <color indexed="81"/>
            <rFont val="Tahoma"/>
            <family val="2"/>
          </rPr>
          <t xml:space="preserve">
● A tiny value indicates good fit.
● A high value above 1 is worse than a function with a single constant!, i.e. f(y)=Ymean.
● NMSE is a better measure of goodness of fit than R², in the case of nonlinear regression.
● Calculated only when weights (standard deviations) are </t>
        </r>
        <r>
          <rPr>
            <b/>
            <sz val="9"/>
            <color indexed="81"/>
            <rFont val="Tahoma"/>
            <family val="2"/>
          </rPr>
          <t>not</t>
        </r>
        <r>
          <rPr>
            <sz val="9"/>
            <color indexed="81"/>
            <rFont val="Tahoma"/>
            <family val="2"/>
          </rPr>
          <t xml:space="preserve"> input, with the following equation:
    </t>
        </r>
        <r>
          <rPr>
            <sz val="9"/>
            <color indexed="12"/>
            <rFont val="Tahoma"/>
            <family val="2"/>
          </rPr>
          <t>nMSE = SSE / SST</t>
        </r>
        <r>
          <rPr>
            <sz val="9"/>
            <color indexed="81"/>
            <rFont val="Tahoma"/>
            <family val="2"/>
          </rPr>
          <t xml:space="preserve">
  where:
    Sum of Squared Errors: </t>
        </r>
        <r>
          <rPr>
            <sz val="9"/>
            <color indexed="12"/>
            <rFont val="Tahoma"/>
            <family val="2"/>
          </rPr>
          <t xml:space="preserve">SSE = SUM[(Ycalc,i - Ytrue,i)²]
</t>
        </r>
        <r>
          <rPr>
            <sz val="9"/>
            <color indexed="81"/>
            <rFont val="Tahoma"/>
            <family val="2"/>
          </rPr>
          <t xml:space="preserve">    Total Sum of Squares: </t>
        </r>
        <r>
          <rPr>
            <sz val="9"/>
            <color indexed="12"/>
            <rFont val="Tahoma"/>
            <family val="2"/>
          </rPr>
          <t>SST = SUM[(Ycalc,i - Ymean,i)²]</t>
        </r>
        <r>
          <rPr>
            <sz val="9"/>
            <color indexed="81"/>
            <rFont val="Tahoma"/>
            <family val="2"/>
          </rPr>
          <t xml:space="preserve">
● This number is used to estimate the Log Likelihood in AIC.
</t>
        </r>
        <r>
          <rPr>
            <b/>
            <sz val="9"/>
            <color indexed="81"/>
            <rFont val="Tahoma"/>
            <family val="2"/>
          </rPr>
          <t>Redcued Chi-squared statistic (X²):</t>
        </r>
        <r>
          <rPr>
            <sz val="9"/>
            <color indexed="81"/>
            <rFont val="Tahoma"/>
            <family val="2"/>
          </rPr>
          <t xml:space="preserve">
● Tiny value indicates good fit.
● Takes into account individual weight (1/uncertainty) for each data point.
● Calculated only if weights </t>
        </r>
        <r>
          <rPr>
            <b/>
            <sz val="9"/>
            <color indexed="81"/>
            <rFont val="Tahoma"/>
            <family val="2"/>
          </rPr>
          <t>are</t>
        </r>
        <r>
          <rPr>
            <sz val="9"/>
            <color indexed="81"/>
            <rFont val="Tahoma"/>
            <family val="2"/>
          </rPr>
          <t xml:space="preserve"> input (i.e. weight = 1/σ where σ = standard deviation):
    </t>
        </r>
        <r>
          <rPr>
            <sz val="9"/>
            <color indexed="12"/>
            <rFont val="Tahoma"/>
            <family val="2"/>
          </rPr>
          <t>X² = SUM[ ((Ycalc,i - Ytrue,i) / σ,i)² ]  / (N-1)</t>
        </r>
        <r>
          <rPr>
            <sz val="9"/>
            <color indexed="81"/>
            <rFont val="Tahoma"/>
            <family val="2"/>
          </rPr>
          <t xml:space="preserve">
  where:
    σ,i = standard deviation of Ytrue,i = 1/weight, 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= number of data points
● This number is used to estimate the Log Likelihood in AIC.</t>
        </r>
      </text>
    </comment>
    <comment ref="D1" authorId="0" shapeId="0" xr:uid="{2D412141-8FFD-4150-87BA-711E2B1BCF57}">
      <text>
        <r>
          <rPr>
            <b/>
            <sz val="9"/>
            <color indexed="81"/>
            <rFont val="Tahoma"/>
            <family val="2"/>
          </rPr>
          <t>Normalized (Weighted) Mean Absolute Error
●</t>
        </r>
        <r>
          <rPr>
            <sz val="9"/>
            <color indexed="81"/>
            <rFont val="Tahoma"/>
            <family val="2"/>
          </rPr>
          <t xml:space="preserve"> Tiny value indicates good fit.
● A high value above 1 is worse than a function with a single constant!, i.e. f(y)=Ymean.
● This statistics is less sentitive to outliers than is NMSE
● If no weights are given (in Column C of sheet 1.Data), then all Y-values are given equal Weight=1.
● Calculated with the following equation:
</t>
        </r>
        <r>
          <rPr>
            <sz val="9"/>
            <color indexed="12"/>
            <rFont val="Tahoma"/>
            <family val="2"/>
          </rPr>
          <t xml:space="preserve">    nwMAE = SWAE / SWAM</t>
        </r>
        <r>
          <rPr>
            <sz val="9"/>
            <color indexed="81"/>
            <rFont val="Tahoma"/>
            <family val="2"/>
          </rPr>
          <t xml:space="preserve">
  where:
    Sum of Weighted Absolute Errors: </t>
        </r>
        <r>
          <rPr>
            <sz val="9"/>
            <color indexed="12"/>
            <rFont val="Tahoma"/>
            <family val="2"/>
          </rPr>
          <t>SWAE = SUM[ABS(Ycalc,i - Ytrue,i) · Weight,i]</t>
        </r>
        <r>
          <rPr>
            <sz val="9"/>
            <color indexed="81"/>
            <rFont val="Tahoma"/>
            <family val="2"/>
          </rPr>
          <t xml:space="preserve">  for i=1 to N
    Sum of Weighted Absolute deviation from Mean: </t>
        </r>
        <r>
          <rPr>
            <sz val="9"/>
            <color indexed="12"/>
            <rFont val="Tahoma"/>
            <family val="2"/>
          </rPr>
          <t>SWAM = SUM[ABS(Ymean,i - Ytrue,i) · Weight,i]</t>
        </r>
        <r>
          <rPr>
            <sz val="9"/>
            <color indexed="81"/>
            <rFont val="Tahoma"/>
            <family val="2"/>
          </rPr>
          <t xml:space="preserve">  for i=1 to N</t>
        </r>
      </text>
    </comment>
    <comment ref="E1" authorId="0" shapeId="0" xr:uid="{2CC1B8E1-5A74-40B7-9A65-7985D0E21409}">
      <text>
        <r>
          <rPr>
            <b/>
            <sz val="9"/>
            <color indexed="81"/>
            <rFont val="Tahoma"/>
            <family val="2"/>
          </rPr>
          <t>Maximum Absolute Error</t>
        </r>
        <r>
          <rPr>
            <sz val="9"/>
            <color indexed="81"/>
            <rFont val="Tahoma"/>
            <family val="2"/>
          </rPr>
          <t>, a.k.a. Maximum Absolute Deviation</t>
        </r>
        <r>
          <rPr>
            <b/>
            <sz val="9"/>
            <color indexed="81"/>
            <rFont val="Tahoma"/>
            <family val="2"/>
          </rPr>
          <t xml:space="preserve">
●</t>
        </r>
        <r>
          <rPr>
            <sz val="9"/>
            <color indexed="81"/>
            <rFont val="Tahoma"/>
            <family val="2"/>
          </rPr>
          <t xml:space="preserve"> Low value indicates good fit
● This is useful because the other statistics are not so sensitive to single values with poor fit
● Calculated using equation </t>
        </r>
        <r>
          <rPr>
            <sz val="9"/>
            <color indexed="12"/>
            <rFont val="Tahoma"/>
            <family val="2"/>
          </rPr>
          <t>MAX [ABS(Ycalc,i - Ytue,i)]</t>
        </r>
        <r>
          <rPr>
            <sz val="9"/>
            <color indexed="81"/>
            <rFont val="Tahoma"/>
            <family val="2"/>
          </rPr>
          <t xml:space="preserve">  for all i=1 to N</t>
        </r>
      </text>
    </comment>
    <comment ref="F1" authorId="0" shapeId="0" xr:uid="{8FF9DF6A-A4D6-4800-B1D3-7D98C6641928}">
      <text>
        <r>
          <rPr>
            <b/>
            <sz val="9"/>
            <color indexed="81"/>
            <rFont val="Tahoma"/>
            <family val="2"/>
          </rPr>
          <t>Akaike Information Criterion (AIC)
●</t>
        </r>
        <r>
          <rPr>
            <sz val="9"/>
            <color indexed="81"/>
            <rFont val="Tahoma"/>
            <family val="2"/>
          </rPr>
          <t xml:space="preserve"> Low value (i.e. can a be large negative) indicates a good compromise between accuracy (low NMSE) and complexity (number of coefficients).
● Use AIC to find parsimonious equations, i.e. simple equations with great explanatory power. They fit data well with a minimum number of coefficients.
● This implementation is 2nd-order accurate, i.e. adjusting for the sample size:
     </t>
        </r>
        <r>
          <rPr>
            <sz val="9"/>
            <color indexed="12"/>
            <rFont val="Tahoma"/>
            <family val="2"/>
          </rPr>
          <t>AIC ≈ SSE / SSE</t>
        </r>
        <r>
          <rPr>
            <vertAlign val="subscript"/>
            <sz val="9"/>
            <color indexed="12"/>
            <rFont val="Tahoma"/>
            <family val="2"/>
          </rPr>
          <t>min</t>
        </r>
        <r>
          <rPr>
            <sz val="9"/>
            <color indexed="12"/>
            <rFont val="Tahoma"/>
            <family val="2"/>
          </rPr>
          <t xml:space="preserve"> + 2·k·N/(N-k-1)  </t>
        </r>
        <r>
          <rPr>
            <sz val="9"/>
            <color indexed="81"/>
            <rFont val="Tahoma"/>
            <family val="2"/>
          </rPr>
          <t xml:space="preserve">
   where: 
     </t>
        </r>
        <r>
          <rPr>
            <i/>
            <sz val="9"/>
            <color indexed="81"/>
            <rFont val="Tahoma"/>
            <family val="2"/>
          </rPr>
          <t>SSE</t>
        </r>
        <r>
          <rPr>
            <sz val="9"/>
            <color indexed="81"/>
            <rFont val="Tahoma"/>
            <family val="2"/>
          </rPr>
          <t xml:space="preserve"> = SUM[(Ycalc,i - Ytrue,i)²], where Ycalc is calculated for each data point </t>
        </r>
        <r>
          <rPr>
            <i/>
            <sz val="9"/>
            <color indexed="81"/>
            <rFont val="Tahoma"/>
            <family val="2"/>
          </rPr>
          <t>i</t>
        </r>
        <r>
          <rPr>
            <sz val="9"/>
            <color indexed="81"/>
            <rFont val="Tahoma"/>
            <family val="2"/>
          </rPr>
          <t xml:space="preserve"> with the fitted rational function coefficients
     </t>
        </r>
        <r>
          <rPr>
            <i/>
            <sz val="9"/>
            <color indexed="81"/>
            <rFont val="Tahoma"/>
            <family val="2"/>
          </rPr>
          <t>SSE</t>
        </r>
        <r>
          <rPr>
            <vertAlign val="subscript"/>
            <sz val="9"/>
            <color indexed="81"/>
            <rFont val="Tahoma"/>
            <family val="2"/>
          </rPr>
          <t>min</t>
        </r>
        <r>
          <rPr>
            <sz val="9"/>
            <color indexed="81"/>
            <rFont val="Tahoma"/>
            <family val="2"/>
          </rPr>
          <t xml:space="preserve"> = an estimate of the variance in Ytrue, and is the lowest SSE of all equations, but limited to min 1E-29.
    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= number of data points
     </t>
        </r>
        <r>
          <rPr>
            <i/>
            <sz val="9"/>
            <color indexed="81"/>
            <rFont val="Tahoma"/>
            <family val="2"/>
          </rPr>
          <t>k</t>
        </r>
        <r>
          <rPr>
            <sz val="9"/>
            <color indexed="81"/>
            <rFont val="Tahoma"/>
            <family val="2"/>
          </rPr>
          <t xml:space="preserve"> = number of coefficients
● The above equation is fundamentally equivalent to Mallow's </t>
        </r>
        <r>
          <rPr>
            <i/>
            <sz val="9"/>
            <color indexed="81"/>
            <rFont val="Tahoma"/>
            <family val="2"/>
          </rPr>
          <t>Cp</t>
        </r>
        <r>
          <rPr>
            <sz val="9"/>
            <color indexed="81"/>
            <rFont val="Tahoma"/>
            <family val="2"/>
          </rPr>
          <t xml:space="preserve"> statistic.</t>
        </r>
      </text>
    </comment>
    <comment ref="G1" authorId="0" shapeId="0" xr:uid="{AC42372F-BBCC-43C0-89D0-1771FB5C471C}">
      <text>
        <r>
          <rPr>
            <b/>
            <sz val="9"/>
            <color indexed="81"/>
            <rFont val="Tahoma"/>
            <family val="2"/>
          </rPr>
          <t>Pareto front : Candidates for best equation
A</t>
        </r>
        <r>
          <rPr>
            <sz val="9"/>
            <color indexed="81"/>
            <rFont val="Tahoma"/>
            <family val="2"/>
          </rPr>
          <t xml:space="preserve"> : best AIC statistic (irrespective of number of coefficients)
</t>
        </r>
        <r>
          <rPr>
            <b/>
            <sz val="9"/>
            <color indexed="81"/>
            <rFont val="Tahoma"/>
            <family val="2"/>
          </rPr>
          <t>E</t>
        </r>
        <r>
          <rPr>
            <sz val="9"/>
            <color indexed="81"/>
            <rFont val="Tahoma"/>
            <family val="2"/>
          </rPr>
          <t xml:space="preserve"> : lowest Max Absolute Error (MaxAE) for given number of coefficients *
</t>
        </r>
        <r>
          <rPr>
            <b/>
            <sz val="9"/>
            <color indexed="81"/>
            <rFont val="Tahoma"/>
            <family val="2"/>
          </rPr>
          <t>X²</t>
        </r>
        <r>
          <rPr>
            <sz val="9"/>
            <color indexed="81"/>
            <rFont val="Tahoma"/>
            <family val="2"/>
          </rPr>
          <t xml:space="preserve"> : lowest X² or NMSE error statistic for given number of coefficients *
</t>
        </r>
        <r>
          <rPr>
            <b/>
            <sz val="9"/>
            <color indexed="81"/>
            <rFont val="Tahoma"/>
            <family val="2"/>
          </rPr>
          <t>!</t>
        </r>
        <r>
          <rPr>
            <sz val="9"/>
            <color indexed="81"/>
            <rFont val="Tahoma"/>
            <family val="2"/>
          </rPr>
          <t xml:space="preserve"> : lowest X² or NMSE error statistic (irrespective of number of coefficients)
(* Lower case letter means not on Pareto front, i.e. inferior compared to an eqn with fewer coefficients)</t>
        </r>
      </text>
    </comment>
    <comment ref="H1" authorId="0" shapeId="0" xr:uid="{0961E7B6-794D-43FF-9B90-9BADEF339F83}">
      <text>
        <r>
          <rPr>
            <b/>
            <sz val="9"/>
            <color indexed="81"/>
            <rFont val="Tahoma"/>
            <family val="2"/>
          </rPr>
          <t xml:space="preserve">Solved rational function. 
</t>
        </r>
        <r>
          <rPr>
            <sz val="9"/>
            <color indexed="81"/>
            <rFont val="Tahoma"/>
            <family val="2"/>
          </rPr>
          <t>It is expressed in one of the two forms depending on the output option in sheet '2.Options':</t>
        </r>
        <r>
          <rPr>
            <b/>
            <sz val="9"/>
            <color indexed="81"/>
            <rFont val="Tahoma"/>
            <family val="2"/>
          </rPr>
          <t xml:space="preserve">
● </t>
        </r>
        <r>
          <rPr>
            <sz val="9"/>
            <color indexed="81"/>
            <rFont val="Tahoma"/>
            <family val="2"/>
          </rPr>
          <t xml:space="preserve">Confentional form:
</t>
        </r>
        <r>
          <rPr>
            <sz val="9"/>
            <color indexed="12"/>
            <rFont val="Tahoma"/>
            <family val="2"/>
          </rPr>
          <t xml:space="preserve">   y = (a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 xml:space="preserve"> + a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·x + a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·x^2 +...+ a</t>
        </r>
        <r>
          <rPr>
            <vertAlign val="subscript"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) / (b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 xml:space="preserve"> + b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·x + b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·x^2 +...+ b</t>
        </r>
        <r>
          <rPr>
            <vertAlign val="subscript"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·x^</t>
        </r>
        <r>
          <rPr>
            <i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● Horner's nested form, for fastest possible calculation:
</t>
        </r>
        <r>
          <rPr>
            <sz val="9"/>
            <color indexed="12"/>
            <rFont val="Tahoma"/>
            <family val="2"/>
          </rPr>
          <t xml:space="preserve">   y = (a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 xml:space="preserve"> +x(a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 xml:space="preserve"> +x(a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 xml:space="preserve"> +x(a</t>
        </r>
        <r>
          <rPr>
            <vertAlign val="subscript"/>
            <sz val="9"/>
            <color indexed="12"/>
            <rFont val="Tahoma"/>
            <family val="2"/>
          </rPr>
          <t>3</t>
        </r>
        <r>
          <rPr>
            <sz val="9"/>
            <color indexed="12"/>
            <rFont val="Tahoma"/>
            <family val="2"/>
          </rPr>
          <t xml:space="preserve"> +... a</t>
        </r>
        <r>
          <rPr>
            <vertAlign val="subscript"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·x)))) / (b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 xml:space="preserve"> +x(b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 xml:space="preserve"> +x(b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 xml:space="preserve"> +x(b</t>
        </r>
        <r>
          <rPr>
            <vertAlign val="subscript"/>
            <sz val="9"/>
            <color indexed="12"/>
            <rFont val="Tahoma"/>
            <family val="2"/>
          </rPr>
          <t>3</t>
        </r>
        <r>
          <rPr>
            <sz val="9"/>
            <color indexed="12"/>
            <rFont val="Tahoma"/>
            <family val="2"/>
          </rPr>
          <t xml:space="preserve"> +... b</t>
        </r>
        <r>
          <rPr>
            <vertAlign val="subscript"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·x))))</t>
        </r>
      </text>
    </comment>
    <comment ref="I1" authorId="0" shapeId="0" xr:uid="{FD463898-CEBC-4C98-B96B-66896376CBE6}">
      <text>
        <r>
          <rPr>
            <b/>
            <sz val="9"/>
            <color indexed="81"/>
            <rFont val="Tahoma"/>
            <family val="2"/>
          </rPr>
          <t xml:space="preserve">Polnomial coefficients in the rational function:
</t>
        </r>
        <r>
          <rPr>
            <sz val="9"/>
            <color indexed="12"/>
            <rFont val="Tahoma"/>
            <family val="2"/>
          </rPr>
          <t>y = (a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 xml:space="preserve"> + a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·x + a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·x^2 +...+  a</t>
        </r>
        <r>
          <rPr>
            <vertAlign val="subscript"/>
            <sz val="9"/>
            <color indexed="12"/>
            <rFont val="Tahoma"/>
            <family val="2"/>
          </rPr>
          <t>n</t>
        </r>
        <r>
          <rPr>
            <sz val="9"/>
            <color indexed="12"/>
            <rFont val="Tahoma"/>
            <family val="2"/>
          </rPr>
          <t>·x^n) / (b</t>
        </r>
        <r>
          <rPr>
            <vertAlign val="subscript"/>
            <sz val="9"/>
            <color indexed="12"/>
            <rFont val="Tahoma"/>
            <family val="2"/>
          </rPr>
          <t>0</t>
        </r>
        <r>
          <rPr>
            <sz val="9"/>
            <color indexed="12"/>
            <rFont val="Tahoma"/>
            <family val="2"/>
          </rPr>
          <t xml:space="preserve"> + b</t>
        </r>
        <r>
          <rPr>
            <vertAlign val="subscript"/>
            <sz val="9"/>
            <color indexed="12"/>
            <rFont val="Tahoma"/>
            <family val="2"/>
          </rPr>
          <t>1</t>
        </r>
        <r>
          <rPr>
            <sz val="9"/>
            <color indexed="12"/>
            <rFont val="Tahoma"/>
            <family val="2"/>
          </rPr>
          <t>·x + b</t>
        </r>
        <r>
          <rPr>
            <vertAlign val="subscript"/>
            <sz val="9"/>
            <color indexed="12"/>
            <rFont val="Tahoma"/>
            <family val="2"/>
          </rPr>
          <t>2</t>
        </r>
        <r>
          <rPr>
            <sz val="9"/>
            <color indexed="12"/>
            <rFont val="Tahoma"/>
            <family val="2"/>
          </rPr>
          <t>·x^2 +...+  b</t>
        </r>
        <r>
          <rPr>
            <vertAlign val="subscript"/>
            <sz val="9"/>
            <color indexed="12"/>
            <rFont val="Tahoma"/>
            <family val="2"/>
          </rPr>
          <t>m</t>
        </r>
        <r>
          <rPr>
            <sz val="9"/>
            <color indexed="12"/>
            <rFont val="Tahoma"/>
            <family val="2"/>
          </rPr>
          <t>·x^m)</t>
        </r>
      </text>
    </comment>
  </commentList>
</comments>
</file>

<file path=xl/sharedStrings.xml><?xml version="1.0" encoding="utf-8"?>
<sst xmlns="http://schemas.openxmlformats.org/spreadsheetml/2006/main" count="48" uniqueCount="48">
  <si>
    <t>AIC</t>
  </si>
  <si>
    <t>R²</t>
  </si>
  <si>
    <t>Max no. of coefficients altogether</t>
  </si>
  <si>
    <t>Equation</t>
  </si>
  <si>
    <t>N.coeffs</t>
  </si>
  <si>
    <t>Pareto</t>
  </si>
  <si>
    <t>Resolution, test equation singularities</t>
  </si>
  <si>
    <t>Largest exponent in numerator</t>
  </si>
  <si>
    <t>Largest exponent in denominator</t>
  </si>
  <si>
    <t>a0</t>
  </si>
  <si>
    <t>a1·x</t>
  </si>
  <si>
    <t>a2·x^2</t>
  </si>
  <si>
    <t>b0</t>
  </si>
  <si>
    <t>b1·x</t>
  </si>
  <si>
    <t>b2·x^2</t>
  </si>
  <si>
    <r>
      <t xml:space="preserve">Calculating </t>
    </r>
    <r>
      <rPr>
        <b/>
        <sz val="11"/>
        <color theme="1"/>
        <rFont val="Calibri"/>
        <family val="2"/>
      </rPr>
      <t>…</t>
    </r>
  </si>
  <si>
    <t>Solution tolerance</t>
  </si>
  <si>
    <t>Calcultion settings:</t>
  </si>
  <si>
    <t>MaxAE</t>
  </si>
  <si>
    <t xml:space="preserve">X² E </t>
  </si>
  <si>
    <t>X² E A!</t>
  </si>
  <si>
    <t>nMAE</t>
  </si>
  <si>
    <t>nMSE</t>
  </si>
  <si>
    <t>Output equations in nested form</t>
  </si>
  <si>
    <t>y=316.166666666667</t>
  </si>
  <si>
    <t>y=22.9180327868852*x</t>
  </si>
  <si>
    <t>y=1.00179275726067*x*x</t>
  </si>
  <si>
    <t>y=1 / 1.79201007228687E-03</t>
  </si>
  <si>
    <t>y=1 / (6.1708870649273E-05*x)</t>
  </si>
  <si>
    <t>y=1 / (2.0828669309217E-06*x*x)</t>
  </si>
  <si>
    <t>y=-164.333333333333 +31*x</t>
  </si>
  <si>
    <t>y=0.999999999999969 +1*x*x</t>
  </si>
  <si>
    <t>Bad equation: Singularity found at value x=29.5301370797245</t>
  </si>
  <si>
    <t>Bad equation: Singularity found at value x=29.5360549547197</t>
  </si>
  <si>
    <t>y=x*(0.131088825214882 +0.996418338108883*x)</t>
  </si>
  <si>
    <t>y=9.59109011762527*x / (1 -2.38492173751968E-02*x)</t>
  </si>
  <si>
    <t>y=13.1264894979892*x / (1 -6.89839969304202E-04*x*x)</t>
  </si>
  <si>
    <t>y=1.00809586463365*x*x / (1 +2.47702517643928E-04*x)</t>
  </si>
  <si>
    <t>y=1.00503271753751*x*x / (1 +4.87351601437404E-06*x*x)</t>
  </si>
  <si>
    <t>y=(1 -0.131355358989688*x) / -3.58560579282617E-03</t>
  </si>
  <si>
    <t>y=(1 -9.23095921706647E-02*x) / (-7.71819332530642E-05*x)</t>
  </si>
  <si>
    <t>y=(1 -7.87641424300488E-02*x) / (-2.08425751964355E-06*x*x)</t>
  </si>
  <si>
    <t>y=(1 +0.999999999999964*x*x) / 0.999999999999964</t>
  </si>
  <si>
    <t>y=(1 -8.09586463364876E-03*x*x) / (-2.47702517643886E-04*x)</t>
  </si>
  <si>
    <t>y=(1 -5.03271753750982E-03*x*x) / (-4.87351601437362E-06*x*x)</t>
  </si>
  <si>
    <t>y=1 / (8.07884979192003E-03 -2.4755077348261E-04*x)</t>
  </si>
  <si>
    <t>y=1 / (5.02632405052217E-03 -4.8751478965749E-06*x*x)</t>
  </si>
  <si>
    <t>y=1 / (x*(3.95781150925251E-04 -1.25275757773799E-05*x))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</si>
</sst>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0000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9"/>
      <color indexed="12"/>
      <name val="Tahoma"/>
      <family val="2"/>
    </font>
    <font>
      <b/>
      <sz val="14"/>
      <color rgb="FFC00000"/>
      <name val="Calibri"/>
      <family val="2"/>
      <scheme val="minor"/>
    </font>
    <font>
      <i/>
      <sz val="9"/>
      <color indexed="12"/>
      <name val="Tahoma"/>
      <family val="2"/>
    </font>
    <font>
      <i/>
      <sz val="9"/>
      <color indexed="81"/>
      <name val="Tahoma"/>
      <family val="2"/>
    </font>
    <font>
      <b/>
      <sz val="9"/>
      <color indexed="12"/>
      <name val="Tahoma"/>
      <family val="2"/>
    </font>
    <font>
      <b/>
      <u/>
      <sz val="9"/>
      <color indexed="81"/>
      <name val="Tahoma"/>
      <family val="2"/>
    </font>
    <font>
      <vertAlign val="subscript"/>
      <sz val="9"/>
      <color indexed="12"/>
      <name val="Tahoma"/>
      <family val="2"/>
    </font>
    <font>
      <vertAlign val="subscript"/>
      <sz val="9"/>
      <color indexed="81"/>
      <name val="Tahoma"/>
      <family val="2"/>
    </font>
    <font>
      <sz val="11"/>
      <color theme="0" tint="-0.499984740745262"/>
      <name val="Calibri"/>
      <family val="2"/>
      <scheme val="minor"/>
    </font>
    <font>
      <i/>
      <vertAlign val="subscript"/>
      <sz val="9"/>
      <color indexed="12"/>
      <name val="Tahoma"/>
      <family val="2"/>
    </font>
    <font>
      <b/>
      <i/>
      <sz val="9"/>
      <color indexed="10"/>
      <name val="Tahoma"/>
      <family val="2"/>
    </font>
    <font>
      <i/>
      <sz val="9"/>
      <color indexed="1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0C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3" fillId="0" borderId="0" xfId="0" applyFont="1" applyAlignment="1">
      <alignment horizontal="right"/>
    </xf>
    <xf numFmtId="0" fontId="3" fillId="0" borderId="0" xfId="0" quotePrefix="1" applyFont="1" applyAlignment="1">
      <alignment horizontal="right"/>
    </xf>
    <xf numFmtId="0" fontId="3" fillId="0" borderId="0" xfId="0" quotePrefix="1" applyFont="1" applyAlignment="1">
      <alignment horizontal="left"/>
    </xf>
    <xf numFmtId="0" fontId="3" fillId="0" borderId="0" xfId="0" quotePrefix="1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4" fillId="3" borderId="0" xfId="0" applyFont="1" applyFill="1"/>
    <xf numFmtId="0" fontId="0" fillId="2" borderId="0" xfId="0" applyFill="1" applyAlignment="1">
      <alignment horizontal="left" indent="1"/>
    </xf>
    <xf numFmtId="0" fontId="7" fillId="2" borderId="0" xfId="0" applyFont="1" applyFill="1" applyAlignment="1">
      <alignment horizontal="left" indent="1"/>
    </xf>
    <xf numFmtId="0" fontId="14" fillId="0" borderId="0" xfId="0" applyFont="1"/>
    <xf numFmtId="0" fontId="0" fillId="0" borderId="0" xfId="0" applyNumberFormat="1"/>
    <xf numFmtId="0" fontId="0" fillId="0" borderId="0" xfId="0" applyFill="1" applyAlignment="1">
      <alignment horizontal="center"/>
    </xf>
    <xf numFmtId="11" fontId="0" fillId="0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C0C0C0"/>
      <color rgb="FF00FF00"/>
      <color rgb="FF00FFFF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'1.Data'!$A$1:$A$102</c:f>
              <c:numCache>
                <c:formatCode>General</c:formatCode>
                <c:ptCount val="10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'1.Data'!$B$1:$B$102</c:f>
              <c:numCache>
                <c:formatCode>General</c:formatCode>
                <c:ptCount val="10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17</c:v>
                </c:pt>
                <c:pt idx="4">
                  <c:v>26</c:v>
                </c:pt>
                <c:pt idx="5">
                  <c:v>37</c:v>
                </c:pt>
                <c:pt idx="6">
                  <c:v>50</c:v>
                </c:pt>
                <c:pt idx="7">
                  <c:v>65</c:v>
                </c:pt>
                <c:pt idx="8">
                  <c:v>82</c:v>
                </c:pt>
                <c:pt idx="9">
                  <c:v>101</c:v>
                </c:pt>
                <c:pt idx="10">
                  <c:v>122</c:v>
                </c:pt>
                <c:pt idx="11">
                  <c:v>145</c:v>
                </c:pt>
                <c:pt idx="12">
                  <c:v>170</c:v>
                </c:pt>
                <c:pt idx="13">
                  <c:v>197</c:v>
                </c:pt>
                <c:pt idx="14">
                  <c:v>226</c:v>
                </c:pt>
                <c:pt idx="15">
                  <c:v>257</c:v>
                </c:pt>
                <c:pt idx="16">
                  <c:v>290</c:v>
                </c:pt>
                <c:pt idx="17">
                  <c:v>325</c:v>
                </c:pt>
                <c:pt idx="18">
                  <c:v>362</c:v>
                </c:pt>
                <c:pt idx="19">
                  <c:v>401</c:v>
                </c:pt>
                <c:pt idx="20">
                  <c:v>442</c:v>
                </c:pt>
                <c:pt idx="21">
                  <c:v>485</c:v>
                </c:pt>
                <c:pt idx="22">
                  <c:v>530</c:v>
                </c:pt>
                <c:pt idx="23">
                  <c:v>577</c:v>
                </c:pt>
                <c:pt idx="24">
                  <c:v>626</c:v>
                </c:pt>
                <c:pt idx="25">
                  <c:v>677</c:v>
                </c:pt>
                <c:pt idx="26">
                  <c:v>730</c:v>
                </c:pt>
                <c:pt idx="27">
                  <c:v>785</c:v>
                </c:pt>
                <c:pt idx="28">
                  <c:v>842</c:v>
                </c:pt>
                <c:pt idx="29">
                  <c:v>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AA-4246-99D6-6D5929DAD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8936992"/>
        <c:axId val="450961920"/>
      </c:scatterChart>
      <c:valAx>
        <c:axId val="152893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X-values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50961920"/>
        <c:crosses val="autoZero"/>
        <c:crossBetween val="midCat"/>
      </c:valAx>
      <c:valAx>
        <c:axId val="45096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Y-values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52893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171450</xdr:colOff>
      <xdr:row>3</xdr:row>
      <xdr:rowOff>28575</xdr:rowOff>
    </xdr:from>
    <xdr:to>
      <xdr:col>10</xdr:col>
      <xdr:colOff>247650</xdr:colOff>
      <xdr:row>22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0A8415-AB79-4984-A570-B94635BB3F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1C359-CB1E-4E32-8660-B03426BE8861}">
  <sheetPr codeName="Sheet4">
    <tabColor rgb="FFFF0000"/>
  </sheetPr>
  <dimension ref="A1:BR69"/>
  <sheetViews>
    <sheetView workbookViewId="0"/>
  </sheetViews>
  <sheetFormatPr defaultColWidth="9.7109375" defaultRowHeight="15" x14ac:dyDescent="0.25"/>
  <sheetData>
    <row r="1" spans="1:70" x14ac:dyDescent="0.25">
      <c r="A1">
        <v>1</v>
      </c>
      <c r="B1">
        <f>1+A1^2</f>
        <v>2</v>
      </c>
      <c r="F1" s="11"/>
      <c r="I1" s="11"/>
      <c r="BR1" s="12"/>
    </row>
    <row r="2" spans="1:70" x14ac:dyDescent="0.25">
      <c r="A2">
        <v>2</v>
      </c>
      <c r="B2">
        <f t="shared" ref="B2:B30" si="0">1+A2^2</f>
        <v>5</v>
      </c>
      <c r="F2" s="11"/>
      <c r="I2" s="11"/>
      <c r="BR2" s="12"/>
    </row>
    <row r="3" spans="1:70" x14ac:dyDescent="0.25">
      <c r="A3">
        <v>3</v>
      </c>
      <c r="B3">
        <f t="shared" si="0"/>
        <v>10</v>
      </c>
      <c r="F3" s="11"/>
      <c r="I3" s="11"/>
      <c r="BR3" s="12"/>
    </row>
    <row r="4" spans="1:70" x14ac:dyDescent="0.25">
      <c r="A4">
        <v>4</v>
      </c>
      <c r="B4">
        <f t="shared" si="0"/>
        <v>17</v>
      </c>
      <c r="F4" s="11"/>
      <c r="I4" s="11"/>
      <c r="BC4" s="11"/>
      <c r="BR4" s="12"/>
    </row>
    <row r="5" spans="1:70" x14ac:dyDescent="0.25">
      <c r="A5">
        <v>5</v>
      </c>
      <c r="B5">
        <f t="shared" si="0"/>
        <v>26</v>
      </c>
      <c r="F5" s="11"/>
      <c r="I5" s="11"/>
      <c r="BC5" s="11"/>
      <c r="BR5" s="12"/>
    </row>
    <row r="6" spans="1:70" x14ac:dyDescent="0.25">
      <c r="A6">
        <v>6</v>
      </c>
      <c r="B6">
        <f t="shared" si="0"/>
        <v>37</v>
      </c>
      <c r="F6" s="11"/>
      <c r="I6" s="11"/>
      <c r="BR6" s="12"/>
    </row>
    <row r="7" spans="1:70" x14ac:dyDescent="0.25">
      <c r="A7">
        <v>7</v>
      </c>
      <c r="B7">
        <f t="shared" si="0"/>
        <v>50</v>
      </c>
      <c r="F7" s="11"/>
      <c r="I7" s="11"/>
      <c r="BC7" s="11"/>
      <c r="BR7" s="12"/>
    </row>
    <row r="8" spans="1:70" x14ac:dyDescent="0.25">
      <c r="A8">
        <v>8</v>
      </c>
      <c r="B8">
        <f t="shared" si="0"/>
        <v>65</v>
      </c>
      <c r="F8" s="11"/>
      <c r="I8" s="11"/>
      <c r="BR8" s="12"/>
    </row>
    <row r="9" spans="1:70" x14ac:dyDescent="0.25">
      <c r="A9">
        <v>9</v>
      </c>
      <c r="B9">
        <f t="shared" si="0"/>
        <v>82</v>
      </c>
      <c r="F9" s="11"/>
      <c r="I9" s="11"/>
      <c r="BR9" s="12"/>
    </row>
    <row r="10" spans="1:70" x14ac:dyDescent="0.25">
      <c r="A10">
        <v>10</v>
      </c>
      <c r="B10">
        <f t="shared" si="0"/>
        <v>101</v>
      </c>
      <c r="F10" s="11"/>
      <c r="I10" s="11"/>
      <c r="BC10" s="11"/>
      <c r="BR10" s="12"/>
    </row>
    <row r="11" spans="1:70" x14ac:dyDescent="0.25">
      <c r="A11">
        <v>11</v>
      </c>
      <c r="B11">
        <f t="shared" si="0"/>
        <v>122</v>
      </c>
      <c r="F11" s="11"/>
      <c r="G11" s="11"/>
      <c r="H11" s="11"/>
      <c r="I11" s="11"/>
      <c r="J11" s="11"/>
      <c r="K11" s="11"/>
      <c r="L11" s="11"/>
      <c r="M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C11" s="11"/>
      <c r="BR11" s="12"/>
    </row>
    <row r="12" spans="1:70" x14ac:dyDescent="0.25">
      <c r="A12">
        <v>12</v>
      </c>
      <c r="B12">
        <f t="shared" si="0"/>
        <v>145</v>
      </c>
      <c r="F12" s="11"/>
      <c r="G12" s="11"/>
      <c r="H12" s="11"/>
      <c r="I12" s="11"/>
      <c r="J12" s="11"/>
      <c r="K12" s="11"/>
      <c r="L12" s="11"/>
      <c r="M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C12" s="11"/>
      <c r="BR12" s="12"/>
    </row>
    <row r="13" spans="1:70" x14ac:dyDescent="0.25">
      <c r="A13">
        <v>13</v>
      </c>
      <c r="B13">
        <f t="shared" si="0"/>
        <v>170</v>
      </c>
      <c r="F13" s="11"/>
      <c r="I13" s="11"/>
      <c r="BR13" s="12"/>
    </row>
    <row r="14" spans="1:70" x14ac:dyDescent="0.25">
      <c r="A14">
        <v>14</v>
      </c>
      <c r="B14">
        <f t="shared" si="0"/>
        <v>197</v>
      </c>
      <c r="F14" s="11"/>
      <c r="I14" s="11"/>
      <c r="BR14" s="12"/>
    </row>
    <row r="15" spans="1:70" x14ac:dyDescent="0.25">
      <c r="A15">
        <v>15</v>
      </c>
      <c r="B15">
        <f t="shared" si="0"/>
        <v>226</v>
      </c>
      <c r="F15" s="11"/>
      <c r="I15" s="11"/>
      <c r="BR15" s="12"/>
    </row>
    <row r="16" spans="1:70" x14ac:dyDescent="0.25">
      <c r="A16">
        <v>16</v>
      </c>
      <c r="B16">
        <f t="shared" si="0"/>
        <v>257</v>
      </c>
      <c r="F16" s="11"/>
      <c r="I16" s="11"/>
      <c r="BR16" s="12"/>
    </row>
    <row r="17" spans="1:70" x14ac:dyDescent="0.25">
      <c r="A17">
        <v>17</v>
      </c>
      <c r="B17">
        <f t="shared" si="0"/>
        <v>290</v>
      </c>
      <c r="F17" s="11"/>
      <c r="I17" s="11"/>
      <c r="BR17" s="12"/>
    </row>
    <row r="18" spans="1:70" x14ac:dyDescent="0.25">
      <c r="A18">
        <v>18</v>
      </c>
      <c r="B18">
        <f t="shared" si="0"/>
        <v>325</v>
      </c>
      <c r="F18" s="11"/>
      <c r="I18" s="11"/>
      <c r="BR18" s="12"/>
    </row>
    <row r="19" spans="1:70" x14ac:dyDescent="0.25">
      <c r="A19">
        <v>19</v>
      </c>
      <c r="B19">
        <f t="shared" si="0"/>
        <v>362</v>
      </c>
      <c r="F19" s="11"/>
      <c r="I19" s="11"/>
      <c r="BR19" s="12"/>
    </row>
    <row r="20" spans="1:70" x14ac:dyDescent="0.25">
      <c r="A20">
        <v>20</v>
      </c>
      <c r="B20">
        <f t="shared" si="0"/>
        <v>401</v>
      </c>
      <c r="F20" s="11"/>
      <c r="I20" s="11"/>
      <c r="BR20" s="12"/>
    </row>
    <row r="21" spans="1:70" x14ac:dyDescent="0.25">
      <c r="A21">
        <v>21</v>
      </c>
      <c r="B21">
        <f t="shared" si="0"/>
        <v>442</v>
      </c>
      <c r="F21" s="11"/>
      <c r="I21" s="11"/>
      <c r="BR21" s="12"/>
    </row>
    <row r="22" spans="1:70" x14ac:dyDescent="0.25">
      <c r="A22">
        <v>22</v>
      </c>
      <c r="B22">
        <f t="shared" si="0"/>
        <v>485</v>
      </c>
      <c r="F22" s="11"/>
      <c r="I22" s="11"/>
      <c r="BR22" s="12"/>
    </row>
    <row r="23" spans="1:70" x14ac:dyDescent="0.25">
      <c r="A23">
        <v>23</v>
      </c>
      <c r="B23">
        <f t="shared" si="0"/>
        <v>530</v>
      </c>
      <c r="F23" s="11"/>
      <c r="I23" s="11"/>
      <c r="BR23" s="12"/>
    </row>
    <row r="24" spans="1:70" x14ac:dyDescent="0.25">
      <c r="A24">
        <v>24</v>
      </c>
      <c r="B24">
        <f t="shared" si="0"/>
        <v>577</v>
      </c>
      <c r="F24" s="11"/>
      <c r="I24" s="11"/>
      <c r="BR24" s="12"/>
    </row>
    <row r="25" spans="1:70" x14ac:dyDescent="0.25">
      <c r="A25">
        <v>25</v>
      </c>
      <c r="B25">
        <f t="shared" si="0"/>
        <v>626</v>
      </c>
      <c r="F25" s="11"/>
      <c r="I25" s="11"/>
      <c r="BR25" s="12"/>
    </row>
    <row r="26" spans="1:70" x14ac:dyDescent="0.25">
      <c r="A26">
        <v>26</v>
      </c>
      <c r="B26">
        <f t="shared" si="0"/>
        <v>677</v>
      </c>
      <c r="F26" s="11"/>
      <c r="I26" s="11"/>
      <c r="BR26" s="12"/>
    </row>
    <row r="27" spans="1:70" x14ac:dyDescent="0.25">
      <c r="A27">
        <v>27</v>
      </c>
      <c r="B27">
        <f t="shared" si="0"/>
        <v>730</v>
      </c>
      <c r="F27" s="11"/>
      <c r="I27" s="11"/>
      <c r="BR27" s="12"/>
    </row>
    <row r="28" spans="1:70" x14ac:dyDescent="0.25">
      <c r="A28">
        <v>28</v>
      </c>
      <c r="B28">
        <f t="shared" si="0"/>
        <v>785</v>
      </c>
      <c r="F28" s="11"/>
      <c r="I28" s="11"/>
      <c r="BR28" s="12"/>
    </row>
    <row r="29" spans="1:70" x14ac:dyDescent="0.25">
      <c r="A29">
        <v>29</v>
      </c>
      <c r="B29">
        <f t="shared" si="0"/>
        <v>842</v>
      </c>
      <c r="F29" s="11"/>
      <c r="I29" s="11"/>
      <c r="BR29" s="12"/>
    </row>
    <row r="30" spans="1:70" x14ac:dyDescent="0.25">
      <c r="A30">
        <v>30</v>
      </c>
      <c r="B30">
        <f t="shared" si="0"/>
        <v>901</v>
      </c>
      <c r="F30" s="11"/>
      <c r="I30" s="11"/>
      <c r="BR30" s="12"/>
    </row>
    <row r="31" spans="1:70" x14ac:dyDescent="0.25">
      <c r="F31" s="11"/>
      <c r="I31" s="11"/>
      <c r="BR31" s="12"/>
    </row>
    <row r="32" spans="1:70" x14ac:dyDescent="0.25">
      <c r="F32" s="11"/>
      <c r="I32" s="11"/>
      <c r="BR32" s="12"/>
    </row>
    <row r="33" spans="6:70" x14ac:dyDescent="0.25">
      <c r="F33" s="11"/>
      <c r="I33" s="11"/>
      <c r="BR33" s="12"/>
    </row>
    <row r="34" spans="6:70" x14ac:dyDescent="0.25">
      <c r="F34" s="11"/>
      <c r="I34" s="11"/>
      <c r="BR34" s="12"/>
    </row>
    <row r="35" spans="6:70" x14ac:dyDescent="0.25">
      <c r="F35" s="11"/>
      <c r="I35" s="11"/>
      <c r="BR35" s="12"/>
    </row>
    <row r="36" spans="6:70" x14ac:dyDescent="0.25">
      <c r="F36" s="11"/>
      <c r="I36" s="11"/>
      <c r="BR36" s="12"/>
    </row>
    <row r="37" spans="6:70" x14ac:dyDescent="0.25">
      <c r="F37" s="11"/>
      <c r="I37" s="11"/>
      <c r="BR37" s="12"/>
    </row>
    <row r="38" spans="6:70" x14ac:dyDescent="0.25">
      <c r="F38" s="11"/>
      <c r="I38" s="11"/>
      <c r="BR38" s="12"/>
    </row>
    <row r="39" spans="6:70" x14ac:dyDescent="0.25">
      <c r="F39" s="11"/>
      <c r="I39" s="11"/>
      <c r="BR39" s="12"/>
    </row>
    <row r="40" spans="6:70" x14ac:dyDescent="0.25">
      <c r="F40" s="11"/>
      <c r="I40" s="11"/>
      <c r="BR40" s="12"/>
    </row>
    <row r="41" spans="6:70" x14ac:dyDescent="0.25">
      <c r="F41" s="11"/>
      <c r="I41" s="11"/>
      <c r="BR41" s="12"/>
    </row>
    <row r="42" spans="6:70" x14ac:dyDescent="0.25">
      <c r="F42" s="11"/>
      <c r="I42" s="11"/>
      <c r="BR42" s="12"/>
    </row>
    <row r="43" spans="6:70" x14ac:dyDescent="0.25">
      <c r="F43" s="11"/>
      <c r="I43" s="11"/>
      <c r="BR43" s="12"/>
    </row>
    <row r="44" spans="6:70" x14ac:dyDescent="0.25">
      <c r="F44" s="11"/>
      <c r="I44" s="11"/>
      <c r="BR44" s="12"/>
    </row>
    <row r="45" spans="6:70" x14ac:dyDescent="0.25">
      <c r="F45" s="11"/>
      <c r="I45" s="11"/>
      <c r="BR45" s="12"/>
    </row>
    <row r="46" spans="6:70" x14ac:dyDescent="0.25">
      <c r="F46" s="11"/>
      <c r="I46" s="11"/>
      <c r="BR46" s="12"/>
    </row>
    <row r="47" spans="6:70" x14ac:dyDescent="0.25">
      <c r="F47" s="11"/>
      <c r="I47" s="11"/>
      <c r="BR47" s="12"/>
    </row>
    <row r="48" spans="6:70" x14ac:dyDescent="0.25">
      <c r="F48" s="11"/>
      <c r="I48" s="11"/>
      <c r="BR48" s="12"/>
    </row>
    <row r="49" spans="6:70" x14ac:dyDescent="0.25">
      <c r="F49" s="11"/>
      <c r="I49" s="11"/>
      <c r="BR49" s="12"/>
    </row>
    <row r="50" spans="6:70" x14ac:dyDescent="0.25">
      <c r="F50" s="11"/>
      <c r="I50" s="11"/>
      <c r="BR50" s="12"/>
    </row>
    <row r="51" spans="6:70" x14ac:dyDescent="0.25">
      <c r="F51" s="11"/>
      <c r="I51" s="11"/>
      <c r="BR51" s="12"/>
    </row>
    <row r="52" spans="6:70" x14ac:dyDescent="0.25">
      <c r="F52" s="11"/>
      <c r="I52" s="11"/>
      <c r="BR52" s="12"/>
    </row>
    <row r="53" spans="6:70" x14ac:dyDescent="0.25">
      <c r="F53" s="11"/>
      <c r="I53" s="11"/>
      <c r="BR53" s="12"/>
    </row>
    <row r="54" spans="6:70" x14ac:dyDescent="0.25">
      <c r="F54" s="11"/>
      <c r="I54" s="11"/>
      <c r="BR54" s="12"/>
    </row>
    <row r="55" spans="6:70" x14ac:dyDescent="0.25">
      <c r="F55" s="11"/>
      <c r="I55" s="11"/>
      <c r="BR55" s="12"/>
    </row>
    <row r="56" spans="6:70" x14ac:dyDescent="0.25">
      <c r="F56" s="11"/>
      <c r="I56" s="11"/>
      <c r="BR56" s="12"/>
    </row>
    <row r="57" spans="6:70" x14ac:dyDescent="0.25">
      <c r="F57" s="11"/>
      <c r="I57" s="11"/>
      <c r="BR57" s="12"/>
    </row>
    <row r="58" spans="6:70" x14ac:dyDescent="0.25">
      <c r="F58" s="11"/>
      <c r="I58" s="11"/>
      <c r="BR58" s="12"/>
    </row>
    <row r="59" spans="6:70" x14ac:dyDescent="0.25">
      <c r="F59" s="11"/>
      <c r="I59" s="11"/>
      <c r="BR59" s="12"/>
    </row>
    <row r="60" spans="6:70" x14ac:dyDescent="0.25">
      <c r="F60" s="11"/>
      <c r="I60" s="11"/>
      <c r="BR60" s="12"/>
    </row>
    <row r="61" spans="6:70" x14ac:dyDescent="0.25">
      <c r="F61" s="11"/>
      <c r="I61" s="11"/>
      <c r="BR61" s="12"/>
    </row>
    <row r="62" spans="6:70" x14ac:dyDescent="0.25">
      <c r="F62" s="11"/>
      <c r="I62" s="11"/>
      <c r="BR62" s="12"/>
    </row>
    <row r="63" spans="6:70" x14ac:dyDescent="0.25">
      <c r="F63" s="11"/>
      <c r="I63" s="11"/>
      <c r="BR63" s="12"/>
    </row>
    <row r="64" spans="6:70" x14ac:dyDescent="0.25">
      <c r="F64" s="11"/>
      <c r="I64" s="11"/>
      <c r="BR64" s="12"/>
    </row>
    <row r="65" spans="6:70" x14ac:dyDescent="0.25">
      <c r="F65" s="11"/>
      <c r="I65" s="11"/>
      <c r="BR65" s="12"/>
    </row>
    <row r="66" spans="6:70" x14ac:dyDescent="0.25">
      <c r="F66" s="11"/>
      <c r="I66" s="11"/>
      <c r="BR66" s="12"/>
    </row>
    <row r="67" spans="6:70" x14ac:dyDescent="0.25">
      <c r="F67" s="11"/>
      <c r="I67" s="11"/>
      <c r="BR67" s="12"/>
    </row>
    <row r="68" spans="6:70" x14ac:dyDescent="0.25">
      <c r="F68" s="11"/>
      <c r="I68" s="11"/>
      <c r="BR68" s="12"/>
    </row>
    <row r="69" spans="6:70" x14ac:dyDescent="0.25">
      <c r="F69" s="11"/>
      <c r="I69" s="11"/>
      <c r="BR69" s="1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23B35-7457-46E8-8004-1237DCBEDE53}">
  <sheetPr codeName="Sheet1">
    <tabColor rgb="FFFFFF00"/>
  </sheetPr>
  <dimension ref="A1:B7"/>
  <sheetViews>
    <sheetView showRowColHeaders="0" workbookViewId="0">
      <selection activeCell="F15" sqref="F15"/>
    </sheetView>
  </sheetViews>
  <sheetFormatPr defaultRowHeight="15" x14ac:dyDescent="0.25"/>
  <cols>
    <col min="1" max="1" width="36.140625" style="9" bestFit="1" customWidth="1"/>
    <col min="2" max="16384" width="9.140625" style="6"/>
  </cols>
  <sheetData>
    <row r="1" spans="1:2" ht="18.75" x14ac:dyDescent="0.3">
      <c r="A1" s="10" t="s">
        <v>17</v>
      </c>
    </row>
    <row r="2" spans="1:2" x14ac:dyDescent="0.25">
      <c r="A2" s="9" t="s">
        <v>7</v>
      </c>
      <c r="B2" s="13">
        <v>2</v>
      </c>
    </row>
    <row r="3" spans="1:2" x14ac:dyDescent="0.25">
      <c r="A3" s="9" t="s">
        <v>8</v>
      </c>
      <c r="B3" s="13">
        <v>2</v>
      </c>
    </row>
    <row r="4" spans="1:2" x14ac:dyDescent="0.25">
      <c r="A4" s="9" t="s">
        <v>2</v>
      </c>
      <c r="B4" s="13">
        <v>2</v>
      </c>
    </row>
    <row r="5" spans="1:2" x14ac:dyDescent="0.25">
      <c r="A5" s="9" t="s">
        <v>6</v>
      </c>
      <c r="B5" s="13">
        <v>2</v>
      </c>
    </row>
    <row r="6" spans="1:2" x14ac:dyDescent="0.25">
      <c r="A6" s="9" t="s">
        <v>16</v>
      </c>
      <c r="B6" s="14">
        <v>1.0000000000000001E-9</v>
      </c>
    </row>
    <row r="7" spans="1:2" x14ac:dyDescent="0.25">
      <c r="A7" s="9" t="s">
        <v>23</v>
      </c>
      <c r="B7" s="14" t="b">
        <v>1</v>
      </c>
    </row>
  </sheetData>
  <dataValidations count="3">
    <dataValidation type="list" allowBlank="1" showInputMessage="1" showErrorMessage="1" sqref="B7" xr:uid="{AF8D5CED-1C20-485E-A270-CBC8E7A3BEA7}">
      <formula1>"TRUE,FALSE"</formula1>
    </dataValidation>
    <dataValidation type="whole" operator="greaterThan" allowBlank="1" showInputMessage="1" showErrorMessage="1" sqref="B2:B5" xr:uid="{0B5ABD2D-90DC-43D0-9682-F7236142AA71}">
      <formula1>1</formula1>
    </dataValidation>
    <dataValidation type="decimal" allowBlank="1" showInputMessage="1" showErrorMessage="1" sqref="B6" xr:uid="{395A8F2E-4D4C-496E-A7AB-180F8BBF91C6}">
      <formula1>0</formula1>
      <formula2>0.01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E3625-7269-4491-8C95-87B10B3295EB}">
  <sheetPr codeName="Sheet2">
    <tabColor rgb="FF00FF00"/>
  </sheetPr>
  <dimension ref="L19:O20"/>
  <sheetViews>
    <sheetView showGridLines="0" showRowColHeaders="0" workbookViewId="0"/>
  </sheetViews>
  <sheetFormatPr defaultRowHeight="15" x14ac:dyDescent="0.25"/>
  <cols>
    <col min="1" max="16384" width="9.140625" style="7"/>
  </cols>
  <sheetData>
    <row r="19" spans="12:15" x14ac:dyDescent="0.25">
      <c r="L19" s="8"/>
      <c r="M19" s="8"/>
    </row>
    <row r="20" spans="12:15" x14ac:dyDescent="0.25">
      <c r="N20" s="8"/>
      <c r="O20" s="8" t="s">
        <v>15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0A9E2-3436-4291-96E7-6966997245E1}">
  <sheetPr codeName="Sheet3">
    <tabColor rgb="FF0000FF"/>
  </sheetPr>
  <dimension ref="A1:Z782"/>
  <sheetViews>
    <sheetView tabSelected="1" zoomScaleNormal="100" workbookViewId="0">
      <pane xSplit="8" ySplit="1" topLeftCell="I2" activePane="bottomRight" state="frozen"/>
      <selection pane="topRight" activeCell="G1" sqref="G1"/>
      <selection pane="bottomLeft" activeCell="A2" sqref="A2"/>
      <selection pane="bottomRight" activeCell="A2" sqref="A2"/>
    </sheetView>
  </sheetViews>
  <sheetFormatPr defaultRowHeight="15" x14ac:dyDescent="0.25"/>
  <cols>
    <col min="2" max="2" width="11" bestFit="1" customWidth="1"/>
    <col min="3" max="3" width="9.85546875" customWidth="1"/>
    <col min="7" max="7" width="9.140625" style="5"/>
    <col min="8" max="8" width="77.5703125" style="11" bestFit="1" customWidth="1"/>
    <col min="17" max="17" width="9.140625" customWidth="1"/>
    <col min="22" max="22" width="9.140625" customWidth="1"/>
  </cols>
  <sheetData>
    <row r="1" spans="1:26" s="1" customFormat="1" x14ac:dyDescent="0.25">
      <c r="A1" s="1" t="s">
        <v>4</v>
      </c>
      <c r="B1" s="1" t="s">
        <v>1</v>
      </c>
      <c r="C1" s="1" t="s">
        <v>22</v>
      </c>
      <c r="D1" s="2" t="s">
        <v>21</v>
      </c>
      <c r="E1" s="2" t="s">
        <v>18</v>
      </c>
      <c r="F1" s="2" t="s">
        <v>0</v>
      </c>
      <c r="G1" s="4" t="s">
        <v>5</v>
      </c>
      <c r="H1" s="3" t="s">
        <v>3</v>
      </c>
      <c r="I1" s="2" t="s">
        <v>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14</v>
      </c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>
        <v>1</v>
      </c>
      <c r="B2">
        <v>0</v>
      </c>
      <c r="C2">
        <v>1</v>
      </c>
      <c r="D2">
        <v>1.0000000000000002</v>
      </c>
      <c r="E2">
        <v>584.83333333333326</v>
      </c>
      <c r="F2">
        <v>1.0000000000000001E+29</v>
      </c>
      <c r="H2" s="11" t="s">
        <v>24</v>
      </c>
      <c r="I2">
        <v>316.16666666666674</v>
      </c>
      <c r="L2">
        <v>1</v>
      </c>
    </row>
    <row r="3" spans="1:26" x14ac:dyDescent="0.25">
      <c r="A3">
        <v>1</v>
      </c>
      <c r="B3">
        <v>0.94147998171249458</v>
      </c>
      <c r="C3">
        <v>0.14246577594572682</v>
      </c>
      <c r="D3">
        <v>0.39053589741040662</v>
      </c>
      <c r="E3">
        <v>213.45901639344288</v>
      </c>
      <c r="F3">
        <v>1.4246577594572683E+28</v>
      </c>
      <c r="H3" s="11" t="s">
        <v>25</v>
      </c>
      <c r="J3">
        <v>22.918032786885238</v>
      </c>
      <c r="L3">
        <v>1</v>
      </c>
    </row>
    <row r="4" spans="1:26" x14ac:dyDescent="0.25">
      <c r="A4">
        <v>1</v>
      </c>
      <c r="B4">
        <v>0.99999999999999922</v>
      </c>
      <c r="C4">
        <v>5.6882832173461314E-6</v>
      </c>
      <c r="D4">
        <v>2.4415853584024995E-3</v>
      </c>
      <c r="E4">
        <v>0.99820724273933337</v>
      </c>
      <c r="F4">
        <v>5.6882832173461316E+23</v>
      </c>
      <c r="G4" s="5" t="s">
        <v>19</v>
      </c>
      <c r="H4" s="11" t="s">
        <v>26</v>
      </c>
      <c r="K4">
        <v>1.0017927572606666</v>
      </c>
      <c r="L4">
        <v>1</v>
      </c>
    </row>
    <row r="5" spans="1:26" x14ac:dyDescent="0.25">
      <c r="A5">
        <v>1</v>
      </c>
      <c r="B5">
        <v>0</v>
      </c>
      <c r="C5">
        <v>1.7649949744470712</v>
      </c>
      <c r="D5">
        <v>1.360197962970974</v>
      </c>
      <c r="E5">
        <v>556.03257775434906</v>
      </c>
      <c r="F5">
        <v>1.7649949744470714E+29</v>
      </c>
      <c r="H5" s="11" t="s">
        <v>27</v>
      </c>
      <c r="I5">
        <v>1</v>
      </c>
      <c r="L5">
        <v>1.7920100722868711E-3</v>
      </c>
    </row>
    <row r="6" spans="1:26" x14ac:dyDescent="0.25">
      <c r="A6">
        <v>1</v>
      </c>
      <c r="B6">
        <v>0.25447127799972341</v>
      </c>
      <c r="C6">
        <v>180.22469489699947</v>
      </c>
      <c r="D6">
        <v>8.0219100030611425</v>
      </c>
      <c r="E6">
        <v>16203.125608011442</v>
      </c>
      <c r="F6">
        <v>1.8022469489699948E+31</v>
      </c>
      <c r="H6" s="11" t="s">
        <v>28</v>
      </c>
      <c r="I6">
        <v>1</v>
      </c>
      <c r="M6">
        <v>6.1708870649273027E-5</v>
      </c>
    </row>
    <row r="7" spans="1:26" x14ac:dyDescent="0.25">
      <c r="A7">
        <v>1</v>
      </c>
      <c r="B7">
        <v>0.10006901171071467</v>
      </c>
      <c r="C7">
        <v>108736.05992163243</v>
      </c>
      <c r="D7">
        <v>107.23782406547112</v>
      </c>
      <c r="E7">
        <v>480105.48317823897</v>
      </c>
      <c r="F7">
        <v>1.0873605992163243E+34</v>
      </c>
      <c r="H7" s="11" t="s">
        <v>29</v>
      </c>
      <c r="I7">
        <v>1</v>
      </c>
      <c r="N7">
        <v>2.0828669309216994E-6</v>
      </c>
    </row>
    <row r="8" spans="1:26" x14ac:dyDescent="0.25">
      <c r="A8">
        <v>2</v>
      </c>
      <c r="B8">
        <v>0.94147998171249392</v>
      </c>
      <c r="C8">
        <v>5.8520018287505693E-2</v>
      </c>
      <c r="D8">
        <v>0.24182488221299636</v>
      </c>
      <c r="E8">
        <v>135.33333333333337</v>
      </c>
      <c r="F8">
        <v>5.8520018287505696E+27</v>
      </c>
      <c r="H8" s="11" t="s">
        <v>30</v>
      </c>
      <c r="I8">
        <v>-164.33333333333337</v>
      </c>
      <c r="J8">
        <v>31.000000000000004</v>
      </c>
      <c r="L8">
        <v>1</v>
      </c>
    </row>
    <row r="9" spans="1:26" x14ac:dyDescent="0.25">
      <c r="A9">
        <v>2</v>
      </c>
      <c r="B9">
        <v>1.0000000000000004</v>
      </c>
      <c r="C9">
        <v>1.5499817328972224E-32</v>
      </c>
      <c r="D9">
        <v>1.1727335993661453E-16</v>
      </c>
      <c r="E9">
        <v>5.6843418860808015E-14</v>
      </c>
      <c r="F9">
        <v>4.4459944261773421</v>
      </c>
      <c r="G9" s="5" t="s">
        <v>20</v>
      </c>
      <c r="H9" s="11" t="s">
        <v>31</v>
      </c>
      <c r="I9">
        <v>0.99999999999996925</v>
      </c>
      <c r="K9">
        <v>1</v>
      </c>
      <c r="L9">
        <v>1</v>
      </c>
    </row>
    <row r="10" spans="1:26" x14ac:dyDescent="0.25">
      <c r="A10">
        <v>2</v>
      </c>
      <c r="B10">
        <v>6.3239573647651572E-3</v>
      </c>
      <c r="C10">
        <v>17.323182324275749</v>
      </c>
      <c r="D10">
        <v>1.6374139271196166</v>
      </c>
      <c r="E10">
        <v>5399.0033867472112</v>
      </c>
      <c r="F10">
        <v>1.7323182324275749E+30</v>
      </c>
      <c r="H10" s="11" t="s">
        <v>32</v>
      </c>
      <c r="I10">
        <v>71.56908892770852</v>
      </c>
      <c r="L10">
        <v>1</v>
      </c>
      <c r="M10">
        <v>-3.3863710056618881E-2</v>
      </c>
    </row>
    <row r="11" spans="1:26" x14ac:dyDescent="0.25">
      <c r="A11">
        <v>2</v>
      </c>
      <c r="B11">
        <v>4.1672577074315254E-3</v>
      </c>
      <c r="C11">
        <v>11.516324269276007</v>
      </c>
      <c r="D11">
        <v>1.4305521248150166</v>
      </c>
      <c r="E11">
        <v>4514.3475813646583</v>
      </c>
      <c r="F11">
        <v>1.1516324269276007E+30</v>
      </c>
      <c r="H11" s="11" t="s">
        <v>33</v>
      </c>
      <c r="I11">
        <v>114.2935351802314</v>
      </c>
      <c r="L11">
        <v>1</v>
      </c>
      <c r="N11">
        <v>-1.1462565860501598E-3</v>
      </c>
    </row>
    <row r="12" spans="1:26" x14ac:dyDescent="0.25">
      <c r="A12">
        <v>2</v>
      </c>
      <c r="B12">
        <v>0.99999901558981708</v>
      </c>
      <c r="C12">
        <v>1.2677353994023681E-6</v>
      </c>
      <c r="D12">
        <v>9.6237218327354464E-4</v>
      </c>
      <c r="E12">
        <v>0.87249283667623434</v>
      </c>
      <c r="F12">
        <v>1.2677353994023681E+23</v>
      </c>
      <c r="H12" s="11" t="s">
        <v>34</v>
      </c>
      <c r="J12">
        <v>0.13108882521488244</v>
      </c>
      <c r="K12">
        <v>0.99641833810888325</v>
      </c>
      <c r="L12">
        <v>1</v>
      </c>
    </row>
    <row r="13" spans="1:26" x14ac:dyDescent="0.25">
      <c r="A13">
        <v>2</v>
      </c>
      <c r="B13">
        <v>0.98551993335177412</v>
      </c>
      <c r="C13">
        <v>1.4886220588969377E-2</v>
      </c>
      <c r="D13">
        <v>0.11401365461217726</v>
      </c>
      <c r="E13">
        <v>110.27929687499898</v>
      </c>
      <c r="F13">
        <v>1.4886220588969377E+27</v>
      </c>
      <c r="H13" s="11" t="s">
        <v>35</v>
      </c>
      <c r="J13">
        <v>9.5910901176252672</v>
      </c>
      <c r="L13">
        <v>1</v>
      </c>
      <c r="M13">
        <v>-2.3849217375196803E-2</v>
      </c>
    </row>
    <row r="14" spans="1:26" x14ac:dyDescent="0.25">
      <c r="A14">
        <v>2</v>
      </c>
      <c r="B14">
        <v>0.97589768594248849</v>
      </c>
      <c r="C14">
        <v>2.5241781044187662E-2</v>
      </c>
      <c r="D14">
        <v>0.15349126534225357</v>
      </c>
      <c r="E14">
        <v>137.64140338747916</v>
      </c>
      <c r="F14">
        <v>2.5241781044187661E+27</v>
      </c>
      <c r="H14" s="11" t="s">
        <v>36</v>
      </c>
      <c r="J14">
        <v>13.126489497989214</v>
      </c>
      <c r="L14">
        <v>1</v>
      </c>
      <c r="N14">
        <v>-6.8983996930420204E-4</v>
      </c>
    </row>
    <row r="15" spans="1:26" x14ac:dyDescent="0.25">
      <c r="A15">
        <v>2</v>
      </c>
      <c r="B15">
        <v>0.99999860005499286</v>
      </c>
      <c r="C15">
        <v>3.0972550655054639E-6</v>
      </c>
      <c r="D15">
        <v>1.6025138419253646E-3</v>
      </c>
      <c r="E15">
        <v>0.99215378141209265</v>
      </c>
      <c r="F15">
        <v>3.097255065505464E+23</v>
      </c>
      <c r="H15" s="11" t="s">
        <v>37</v>
      </c>
      <c r="K15">
        <v>1.0080958646336495</v>
      </c>
      <c r="L15">
        <v>1</v>
      </c>
      <c r="M15">
        <v>2.4770251764392819E-4</v>
      </c>
    </row>
    <row r="16" spans="1:26" x14ac:dyDescent="0.25">
      <c r="A16">
        <v>2</v>
      </c>
      <c r="B16">
        <v>0.99999867382370189</v>
      </c>
      <c r="C16">
        <v>3.5558953595732587E-6</v>
      </c>
      <c r="D16">
        <v>1.7559622421024644E-3</v>
      </c>
      <c r="E16">
        <v>0.99497218048166314</v>
      </c>
      <c r="F16">
        <v>3.5558953595732587E+23</v>
      </c>
      <c r="H16" s="11" t="s">
        <v>38</v>
      </c>
      <c r="K16">
        <v>1.00503271753751</v>
      </c>
      <c r="L16">
        <v>1</v>
      </c>
      <c r="N16">
        <v>4.8735160143740428E-6</v>
      </c>
    </row>
    <row r="17" spans="1:14" x14ac:dyDescent="0.25">
      <c r="A17">
        <v>2</v>
      </c>
      <c r="B17">
        <v>0.94147998171249447</v>
      </c>
      <c r="C17">
        <v>9.9315320348069197E-2</v>
      </c>
      <c r="D17">
        <v>0.26905198221762305</v>
      </c>
      <c r="E17">
        <v>244.25882352941161</v>
      </c>
      <c r="F17">
        <v>9.9315320348069213E+27</v>
      </c>
      <c r="H17" s="11" t="s">
        <v>39</v>
      </c>
      <c r="I17">
        <v>1</v>
      </c>
      <c r="J17">
        <v>-0.13135535898968828</v>
      </c>
      <c r="L17">
        <v>-3.5856057928261723E-3</v>
      </c>
    </row>
    <row r="18" spans="1:14" x14ac:dyDescent="0.25">
      <c r="A18">
        <v>2</v>
      </c>
      <c r="B18">
        <v>0.25447127799972358</v>
      </c>
      <c r="C18">
        <v>80.418396342471709</v>
      </c>
      <c r="D18">
        <v>3.9545255916952962</v>
      </c>
      <c r="E18">
        <v>11762.399999999981</v>
      </c>
      <c r="F18">
        <v>8.0418396342471716E+30</v>
      </c>
      <c r="H18" s="11" t="s">
        <v>40</v>
      </c>
      <c r="I18">
        <v>1</v>
      </c>
      <c r="J18">
        <v>-9.2309592170664728E-2</v>
      </c>
      <c r="M18">
        <v>-7.7181933253064243E-5</v>
      </c>
    </row>
    <row r="19" spans="1:14" x14ac:dyDescent="0.25">
      <c r="A19">
        <v>2</v>
      </c>
      <c r="B19">
        <v>8.8877357106697558E-2</v>
      </c>
      <c r="C19">
        <v>90613.40054230587</v>
      </c>
      <c r="D19">
        <v>89.194997871839178</v>
      </c>
      <c r="E19">
        <v>441999.13753581612</v>
      </c>
      <c r="F19">
        <v>9.0613400542305872E+33</v>
      </c>
      <c r="H19" s="11" t="s">
        <v>41</v>
      </c>
      <c r="I19">
        <v>1</v>
      </c>
      <c r="J19">
        <v>-7.8764142430048811E-2</v>
      </c>
      <c r="N19">
        <v>-2.0842575196435547E-6</v>
      </c>
    </row>
    <row r="20" spans="1:14" x14ac:dyDescent="0.25">
      <c r="A20">
        <v>2</v>
      </c>
      <c r="B20">
        <v>1.0000000000000004</v>
      </c>
      <c r="C20">
        <v>3.783069208188991E-32</v>
      </c>
      <c r="D20">
        <v>1.7401452454823562E-16</v>
      </c>
      <c r="E20">
        <v>1.1368683772161603E-13</v>
      </c>
      <c r="F20">
        <v>4.4482275136526335</v>
      </c>
      <c r="H20" s="11" t="s">
        <v>42</v>
      </c>
      <c r="I20">
        <v>1</v>
      </c>
      <c r="K20">
        <v>0.99999999999996447</v>
      </c>
      <c r="L20">
        <v>0.99999999999996447</v>
      </c>
    </row>
    <row r="21" spans="1:14" x14ac:dyDescent="0.25">
      <c r="A21">
        <v>2</v>
      </c>
      <c r="B21">
        <v>0.46094620242152623</v>
      </c>
      <c r="C21">
        <v>10.188562635439702</v>
      </c>
      <c r="D21">
        <v>1.5740565922837675</v>
      </c>
      <c r="E21">
        <v>4006.4168497002479</v>
      </c>
      <c r="F21">
        <v>1.0188562635439702E+30</v>
      </c>
      <c r="H21" s="11" t="s">
        <v>43</v>
      </c>
      <c r="I21">
        <v>1</v>
      </c>
      <c r="K21">
        <v>-8.0958646336487614E-3</v>
      </c>
      <c r="M21">
        <v>-2.4770251764388629E-4</v>
      </c>
    </row>
    <row r="22" spans="1:14" x14ac:dyDescent="0.25">
      <c r="A22">
        <v>2</v>
      </c>
      <c r="B22">
        <v>0.10006901171071456</v>
      </c>
      <c r="C22">
        <v>19579.043378093738</v>
      </c>
      <c r="D22">
        <v>43.549350924428168</v>
      </c>
      <c r="E22">
        <v>204160.00000000023</v>
      </c>
      <c r="F22">
        <v>1.957904337809374E+33</v>
      </c>
      <c r="H22" s="11" t="s">
        <v>44</v>
      </c>
      <c r="I22">
        <v>1</v>
      </c>
      <c r="K22">
        <v>-5.0327175375098248E-3</v>
      </c>
      <c r="N22">
        <v>-4.8735160143736176E-6</v>
      </c>
    </row>
    <row r="23" spans="1:14" x14ac:dyDescent="0.25">
      <c r="A23">
        <v>2</v>
      </c>
      <c r="B23">
        <v>0.7964789992243595</v>
      </c>
      <c r="C23">
        <v>0.29942444076872216</v>
      </c>
      <c r="D23">
        <v>0.43557544107235951</v>
      </c>
      <c r="E23">
        <v>631.9744628710605</v>
      </c>
      <c r="F23">
        <v>2.9942444076872219E+28</v>
      </c>
      <c r="H23" s="11" t="s">
        <v>45</v>
      </c>
      <c r="I23">
        <v>1</v>
      </c>
      <c r="L23">
        <v>8.0788497919200303E-3</v>
      </c>
      <c r="M23">
        <v>-2.4755077348260997E-4</v>
      </c>
    </row>
    <row r="24" spans="1:14" x14ac:dyDescent="0.25">
      <c r="A24">
        <v>2</v>
      </c>
      <c r="B24">
        <v>0.72265887202228862</v>
      </c>
      <c r="C24">
        <v>0.39318052076023352</v>
      </c>
      <c r="D24">
        <v>0.54116711839113774</v>
      </c>
      <c r="E24">
        <v>664.70248883756926</v>
      </c>
      <c r="F24">
        <v>3.9318052076023356E+28</v>
      </c>
      <c r="H24" s="11" t="s">
        <v>46</v>
      </c>
      <c r="I24">
        <v>1</v>
      </c>
      <c r="L24">
        <v>5.0263240505221745E-3</v>
      </c>
      <c r="N24">
        <v>-4.8751478965748967E-6</v>
      </c>
    </row>
    <row r="25" spans="1:14" x14ac:dyDescent="0.25">
      <c r="A25">
        <v>2</v>
      </c>
      <c r="B25">
        <v>1.3294413604938073E-3</v>
      </c>
      <c r="C25">
        <v>5.1737027325796907</v>
      </c>
      <c r="D25">
        <v>1.5089516852219957</v>
      </c>
      <c r="E25">
        <v>2607.238542952065</v>
      </c>
      <c r="F25">
        <v>5.1737027325796908E+29</v>
      </c>
      <c r="H25" s="11" t="s">
        <v>47</v>
      </c>
      <c r="I25">
        <v>1</v>
      </c>
      <c r="M25">
        <v>3.9578115092525059E-4</v>
      </c>
      <c r="N25">
        <v>-1.2527575777379854E-5</v>
      </c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</sheetData>
  <sortState xmlns:xlrd2="http://schemas.microsoft.com/office/spreadsheetml/2017/richdata2" ref="A2:Z130561">
    <sortCondition ref="C2:C130561"/>
  </sortState>
  <conditionalFormatting sqref="B1:B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:F104857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:C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5A111-A0A4-4D25-9268-B73C525ED965}">
  <sheetPr codeName="Sheet5"/>
  <dimension ref="A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C560-69DD-40F8-AFCF-A21F8C771619}">
  <sheetPr codeName="Sheet6"/>
  <dimension ref="A1"/>
  <sheetViews>
    <sheetView zoomScale="60" zoomScaleNormal="60"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XFD1048576"/>
    </sheetView>
  </sheetViews>
  <sheetFormatPr defaultColWidth="9.7109375" defaultRowHeight="15" x14ac:dyDescent="0.25"/>
  <cols>
    <col min="1" max="1" width="9.7109375" customWidth="1"/>
    <col min="3" max="11" width="9.7109375" customWidth="1"/>
    <col min="13" max="21" width="9.7109375" customWidth="1"/>
    <col min="22" max="22" width="14.85546875" bestFit="1" customWidth="1"/>
    <col min="23" max="31" width="9.7109375" customWidth="1"/>
    <col min="33" max="41" width="9.7109375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6D32517142E2964C99C02EFDAC2FF07A" ma:contentTypeVersion="12" ma:contentTypeDescription="Opprett et nytt dokument." ma:contentTypeScope="" ma:versionID="8a76e791e61d3e6ca91f49d4a7d39699">
  <xsd:schema xmlns:xsd="http://www.w3.org/2001/XMLSchema" xmlns:xs="http://www.w3.org/2001/XMLSchema" xmlns:p="http://schemas.microsoft.com/office/2006/metadata/properties" xmlns:ns1="http://schemas.microsoft.com/sharepoint/v3" xmlns:ns3="aa087bb6-d861-4a88-8615-b220fcd2cbf3" targetNamespace="http://schemas.microsoft.com/office/2006/metadata/properties" ma:root="true" ma:fieldsID="ad1fa43610db24ed4f4e8f1ce98b7ea6" ns1:_="" ns3:_="">
    <xsd:import namespace="http://schemas.microsoft.com/sharepoint/v3"/>
    <xsd:import namespace="aa087bb6-d861-4a88-8615-b220fcd2cbf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4" nillable="true" ma:displayName="Egenskaper for samordnet samsvarspolicy" ma:hidden="true" ma:internalName="_ip_UnifiedCompliancePolicyProperties">
      <xsd:simpleType>
        <xsd:restriction base="dms:Note"/>
      </xsd:simpleType>
    </xsd:element>
    <xsd:element name="_ip_UnifiedCompliancePolicyUIAction" ma:index="15" nillable="true" ma:displayName="UI-handling for samordnet samsvarspolicy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087bb6-d861-4a88-8615-b220fcd2cbf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holdstype"/>
        <xsd:element ref="dc:title" minOccurs="0" maxOccurs="1" ma:index="4" ma:displayName="Tit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49A38A6-9E8C-46D6-A334-F5F29AE7489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4BC35CA-7F80-4595-8BD0-85821BABA203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aa087bb6-d861-4a88-8615-b220fcd2cbf3"/>
    <ds:schemaRef ds:uri="http://purl.org/dc/terms/"/>
    <ds:schemaRef ds:uri="http://schemas.microsoft.com/office/infopath/2007/PartnerControls"/>
    <ds:schemaRef ds:uri="http://schemas.microsoft.com/sharepoint/v3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DA80317-C4A9-40DE-94E4-76DCAF29FBF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aa087bb6-d861-4a88-8615-b220fcd2cbf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1.Data</vt:lpstr>
      <vt:lpstr>2.Options</vt:lpstr>
      <vt:lpstr>3.Analyze</vt:lpstr>
      <vt:lpstr>4.Results</vt:lpstr>
      <vt:lpstr>AutoIn</vt:lpstr>
      <vt:lpstr>AutoOut</vt:lpstr>
    </vt:vector>
  </TitlesOfParts>
  <Company>OsloMet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Schild</dc:creator>
  <cp:lastModifiedBy>Peter Schild</cp:lastModifiedBy>
  <dcterms:created xsi:type="dcterms:W3CDTF">2020-04-13T15:12:18Z</dcterms:created>
  <dcterms:modified xsi:type="dcterms:W3CDTF">2020-04-30T13:17:44Z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0x0101006D32517142E2964C99C02EFDAC2FF07A</vt:lpwstr>
  </property>
</Properties>
</file>